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mc:AlternateContent xmlns:mc="http://schemas.openxmlformats.org/markup-compatibility/2006">
    <mc:Choice Requires="x15">
      <x15ac:absPath xmlns:x15ac="http://schemas.microsoft.com/office/spreadsheetml/2010/11/ac" url="https://scoutne.sharepoint.com/sites/ec/Documents partages/2. Equipe Formation/2. Cours de formation/Cours Base et RU/JS 2026/3. RU/3. Qualifications/"/>
    </mc:Choice>
  </mc:AlternateContent>
  <xr:revisionPtr revIDLastSave="7614" documentId="11_B89B83A0E902729FF5D9F48520B8C1CD6A00A4B6" xr6:coauthVersionLast="47" xr6:coauthVersionMax="47" xr10:uidLastSave="{B1A33CDA-5C2F-4293-B9D4-4997FB0996F7}"/>
  <bookViews>
    <workbookView xWindow="-90" yWindow="0" windowWidth="9780" windowHeight="10170" xr2:uid="{D987F03E-6DEA-44C8-9ED7-209ECE4C1D0B}"/>
  </bookViews>
  <sheets>
    <sheet name="Synthèse" sheetId="1" r:id="rId1"/>
    <sheet name="Posture" sheetId="2" r:id="rId2"/>
    <sheet name="A - Techniques JS" sheetId="3" r:id="rId3"/>
    <sheet name="B - Organisation" sheetId="17" r:id="rId4"/>
    <sheet name="C - Scoutisme" sheetId="18" r:id="rId5"/>
    <sheet name="Critères éliminatoires" sheetId="6" r:id="rId6"/>
    <sheet name="Echelle" sheetId="7" r:id="rId7"/>
    <sheet name="Attestation" sheetId="8" r:id="rId8"/>
    <sheet name="Listes" sheetId="12" r:id="rId9"/>
    <sheet name="Objectifs MSdS" sheetId="16" r:id="rId10"/>
  </sheets>
  <definedNames>
    <definedName name="_xlnm.Print_Area" localSheetId="7">Attestation!$A$1:$H$40</definedName>
    <definedName name="_xlnm.Print_Area" localSheetId="3">'B - Organisation'!$A$1:$M$100</definedName>
    <definedName name="_xlnm.Print_Area" localSheetId="4">'C - Scoutisme'!$A$1:$M$65</definedName>
    <definedName name="_xlnm.Print_Area" localSheetId="5">'Critères éliminatoires'!$A$1:$F$27</definedName>
    <definedName name="_xlnm.Print_Area" localSheetId="9">'Objectifs MSdS'!$A$1:$D$39</definedName>
    <definedName name="_xlnm.Print_Area" localSheetId="1">Posture!$A$1:$J$88</definedName>
    <definedName name="_xlnm.Print_Area" localSheetId="0">Synthèse!$A$1:$M$53</definedName>
    <definedName name="_xlnm.Print_Area" localSheetId="2">'A - Techniques JS'!$D$41:$G$45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9" i="1" l="1"/>
  <c r="O39" i="1"/>
  <c r="I106" i="17"/>
  <c r="I102" i="17"/>
  <c r="N101" i="17" a="1"/>
  <c r="N101" i="17" s="1"/>
  <c r="J101" i="17"/>
  <c r="O101" i="17" s="1"/>
  <c r="O3" i="18"/>
  <c r="O3" i="17"/>
  <c r="G21" i="1"/>
  <c r="I77" i="17"/>
  <c r="N2" i="18"/>
  <c r="O2" i="18" s="1"/>
  <c r="I82" i="17"/>
  <c r="N2" i="17"/>
  <c r="O2" i="17" s="1"/>
  <c r="I122" i="3"/>
  <c r="I115" i="3"/>
  <c r="I108" i="3"/>
  <c r="I99" i="3"/>
  <c r="I93" i="3"/>
  <c r="I85" i="3"/>
  <c r="I76" i="3"/>
  <c r="I69" i="3"/>
  <c r="N68" i="3" a="1"/>
  <c r="N68" i="3"/>
  <c r="J68" i="3" s="1"/>
  <c r="I62" i="3"/>
  <c r="I55" i="3"/>
  <c r="I47" i="3"/>
  <c r="I41" i="3"/>
  <c r="I36" i="3"/>
  <c r="I26" i="3"/>
  <c r="I18" i="3"/>
  <c r="I12" i="3"/>
  <c r="N11" i="3" s="1" a="1"/>
  <c r="N11" i="3" s="1"/>
  <c r="J11" i="3" s="1"/>
  <c r="I39" i="17"/>
  <c r="I33" i="17"/>
  <c r="I46" i="17"/>
  <c r="I56" i="18"/>
  <c r="I30" i="18"/>
  <c r="I34" i="18"/>
  <c r="I26" i="18"/>
  <c r="I21" i="18"/>
  <c r="I73" i="17"/>
  <c r="A26" i="8"/>
  <c r="E26" i="8"/>
  <c r="A27" i="8"/>
  <c r="E27" i="8"/>
  <c r="A28" i="8"/>
  <c r="E28" i="8"/>
  <c r="A21" i="8"/>
  <c r="B10" i="8"/>
  <c r="F10" i="8"/>
  <c r="B11" i="8"/>
  <c r="F11" i="8"/>
  <c r="G35" i="1"/>
  <c r="C35" i="1"/>
  <c r="G42" i="1"/>
  <c r="C42" i="1"/>
  <c r="G26" i="1"/>
  <c r="C26" i="1"/>
  <c r="I95" i="17"/>
  <c r="I24" i="17"/>
  <c r="F47" i="1"/>
  <c r="C48" i="1"/>
  <c r="I63" i="17"/>
  <c r="I68" i="17"/>
  <c r="I17" i="17"/>
  <c r="I12" i="17"/>
  <c r="I52" i="18"/>
  <c r="I48" i="18"/>
  <c r="I44" i="18"/>
  <c r="I16" i="18"/>
  <c r="I129" i="3"/>
  <c r="I12" i="18"/>
  <c r="N11" i="18" s="1" a="1"/>
  <c r="N11" i="18" s="1"/>
  <c r="I103" i="3"/>
  <c r="I89" i="17"/>
  <c r="I53" i="17"/>
  <c r="I58" i="17"/>
  <c r="N52" i="17" a="1"/>
  <c r="N52" i="17"/>
  <c r="J52" i="17" s="1"/>
  <c r="O52" i="17"/>
  <c r="O3" i="3"/>
  <c r="N2" i="3"/>
  <c r="O2" i="3"/>
  <c r="C1" i="1"/>
  <c r="K1" i="18"/>
  <c r="K1" i="17"/>
  <c r="K1" i="3"/>
  <c r="E1" i="6"/>
  <c r="G1" i="2"/>
  <c r="N107" i="3" a="1"/>
  <c r="N107" i="3"/>
  <c r="J107" i="3" s="1"/>
  <c r="O107" i="3"/>
  <c r="N92" i="3" a="1"/>
  <c r="N92" i="3"/>
  <c r="J92" i="3" s="1"/>
  <c r="O92" i="3"/>
  <c r="N35" i="3" a="1"/>
  <c r="N35" i="3"/>
  <c r="J35" i="3" s="1"/>
  <c r="N46" i="3" a="1"/>
  <c r="N46" i="3"/>
  <c r="J46" i="3" s="1"/>
  <c r="O46" i="3"/>
  <c r="O68" i="3"/>
  <c r="N11" i="17" a="1"/>
  <c r="N11" i="17"/>
  <c r="N81" i="17" a="1"/>
  <c r="N81" i="17"/>
  <c r="J81" i="17" s="1"/>
  <c r="E39" i="1" s="1" a="1"/>
  <c r="E39" i="1" s="1"/>
  <c r="O81" i="17"/>
  <c r="N23" i="17" a="1"/>
  <c r="N23" i="17"/>
  <c r="J23" i="17" s="1"/>
  <c r="O23" i="17"/>
  <c r="O11" i="3"/>
  <c r="N121" i="3" a="1"/>
  <c r="N121" i="3"/>
  <c r="J121" i="3" s="1"/>
  <c r="O121" i="3"/>
  <c r="O35" i="3"/>
  <c r="O4" i="3" a="1"/>
  <c r="O4" i="3"/>
  <c r="O6" i="3" s="1"/>
  <c r="N43" i="18" a="1"/>
  <c r="N43" i="18"/>
  <c r="J43" i="18" s="1"/>
  <c r="O43" i="18"/>
  <c r="N20" i="18" a="1"/>
  <c r="N20" i="18"/>
  <c r="J20" i="18" s="1"/>
  <c r="O20" i="18"/>
  <c r="O4" i="18" l="1" a="1"/>
  <c r="O4" i="18" s="1"/>
  <c r="O6" i="18" s="1"/>
  <c r="C3" i="18" s="1"/>
  <c r="J11" i="18"/>
  <c r="O11" i="18" s="1"/>
  <c r="J11" i="17"/>
  <c r="O11" i="17" s="1"/>
  <c r="O4" i="17" a="1"/>
  <c r="O4" i="17" s="1"/>
  <c r="O6" i="17" s="1"/>
  <c r="C3" i="17" s="1"/>
  <c r="C3" i="3"/>
  <c r="O5" i="18" l="1"/>
  <c r="N45" i="1"/>
  <c r="N44" i="1"/>
  <c r="E42" i="1"/>
  <c r="F42" i="1" s="1"/>
  <c r="N43" i="1"/>
  <c r="O5" i="17"/>
  <c r="N36" i="1"/>
  <c r="N38" i="1"/>
  <c r="N37" i="1"/>
  <c r="E35" i="1"/>
  <c r="F35" i="1" s="1"/>
  <c r="O5" i="3"/>
  <c r="N32" i="1"/>
  <c r="N28" i="1"/>
  <c r="N27" i="1"/>
  <c r="N31" i="1"/>
  <c r="N29" i="1"/>
  <c r="E26" i="1"/>
  <c r="F26" i="1" s="1"/>
  <c r="F24" i="1" s="1"/>
  <c r="A33" i="8" s="1"/>
  <c r="N33" i="1"/>
  <c r="N30" i="1"/>
  <c r="P43" i="1" l="1"/>
  <c r="G43" i="1" s="1" a="1"/>
  <c r="G43" i="1" s="1"/>
  <c r="O43" i="1"/>
  <c r="E43" i="1" s="1" a="1"/>
  <c r="E43" i="1" s="1"/>
  <c r="O44" i="1"/>
  <c r="E44" i="1" s="1" a="1"/>
  <c r="E44" i="1" s="1"/>
  <c r="P44" i="1"/>
  <c r="G44" i="1" s="1" a="1"/>
  <c r="G44" i="1" s="1"/>
  <c r="O45" i="1"/>
  <c r="E45" i="1" s="1" a="1"/>
  <c r="E45" i="1" s="1"/>
  <c r="P45" i="1"/>
  <c r="G45" i="1" s="1" a="1"/>
  <c r="G45" i="1" s="1"/>
  <c r="P37" i="1"/>
  <c r="G37" i="1" s="1" a="1"/>
  <c r="G37" i="1" s="1"/>
  <c r="O37" i="1"/>
  <c r="E37" i="1" s="1" a="1"/>
  <c r="E37" i="1" s="1"/>
  <c r="O38" i="1"/>
  <c r="E38" i="1" s="1" a="1"/>
  <c r="E38" i="1" s="1"/>
  <c r="P38" i="1"/>
  <c r="G38" i="1" s="1" a="1"/>
  <c r="G38" i="1" s="1"/>
  <c r="O40" i="1"/>
  <c r="E40" i="1" s="1" a="1"/>
  <c r="E40" i="1" s="1"/>
  <c r="P40" i="1"/>
  <c r="G40" i="1" s="1" a="1"/>
  <c r="G40" i="1" s="1"/>
  <c r="P36" i="1"/>
  <c r="G36" i="1" s="1" a="1"/>
  <c r="G36" i="1" s="1"/>
  <c r="O36" i="1"/>
  <c r="E36" i="1" s="1" a="1"/>
  <c r="E36" i="1" s="1"/>
  <c r="O30" i="1"/>
  <c r="E30" i="1" s="1" a="1"/>
  <c r="E30" i="1" s="1"/>
  <c r="P30" i="1"/>
  <c r="G30" i="1" s="1" a="1"/>
  <c r="G30" i="1" s="1"/>
  <c r="O33" i="1"/>
  <c r="E33" i="1" s="1" a="1"/>
  <c r="E33" i="1" s="1"/>
  <c r="P33" i="1"/>
  <c r="G33" i="1" s="1" a="1"/>
  <c r="G33" i="1" s="1"/>
  <c r="P29" i="1"/>
  <c r="G29" i="1" s="1" a="1"/>
  <c r="G29" i="1" s="1"/>
  <c r="O29" i="1"/>
  <c r="E29" i="1" s="1" a="1"/>
  <c r="E29" i="1" s="1"/>
  <c r="P31" i="1"/>
  <c r="G31" i="1" s="1" a="1"/>
  <c r="G31" i="1" s="1"/>
  <c r="O31" i="1"/>
  <c r="E31" i="1" s="1" a="1"/>
  <c r="E31" i="1" s="1"/>
  <c r="O27" i="1"/>
  <c r="E27" i="1" s="1" a="1"/>
  <c r="E27" i="1" s="1"/>
  <c r="P27" i="1"/>
  <c r="G27" i="1" s="1" a="1"/>
  <c r="G27" i="1" s="1"/>
  <c r="O28" i="1"/>
  <c r="E28" i="1" s="1" a="1"/>
  <c r="E28" i="1" s="1"/>
  <c r="P28" i="1"/>
  <c r="G28" i="1" s="1" a="1"/>
  <c r="G28" i="1" s="1"/>
  <c r="O32" i="1"/>
  <c r="E32" i="1" s="1" a="1"/>
  <c r="E32" i="1" s="1"/>
  <c r="P32" i="1"/>
  <c r="G32" i="1" s="1" a="1"/>
  <c r="G3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tc={629B68FF-061D-493D-94BE-507918F19C91}</author>
  </authors>
  <commentList>
    <comment ref="C21" authorId="0" shapeId="0" xr:uid="{629B68FF-061D-493D-94BE-507918F19C91}">
      <text>
        <t xml:space="preserve">[Threaded comment]
Your version of Excel allows you to read this threaded comment; however, any edits to it will get removed if the file is opened in a newer version of Excel. Learn more: https://go.microsoft.com/fwlink/?linkid=870924
Comment:
    a revoir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tc={8D24054F-71C2-4B67-ACAB-F0D60264BB22}</author>
  </authors>
  <commentList>
    <comment ref="B32" authorId="0" shapeId="0" xr:uid="{8D24054F-71C2-4B67-ACAB-F0D60264BB22}">
      <text>
        <t>[Threaded comment]
Your version of Excel allows you to read this threaded comment; however, any edits to it will get removed if the file is opened in a newer version of Excel. Learn more: https://go.microsoft.com/fwlink/?linkid=870924
Comment:
    La partie évaluation d'une randonnée est-elle évaluable dans notre cours ? peut être si on fait un moment d'auto eval de leur plage d'animation d'une randonnnée.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<sst xmlns="http://schemas.openxmlformats.org/spreadsheetml/2006/main" count="636" uniqueCount="527">
  <si>
    <t>Synthèse qualification</t>
  </si>
  <si>
    <t>Colonnes techniques, ne pas imprimer après M</t>
  </si>
  <si>
    <t>Totem</t>
  </si>
  <si>
    <t>Kangourou</t>
  </si>
  <si>
    <t>Cours</t>
  </si>
  <si>
    <t>RU - Chef de camp JS SdC/T</t>
  </si>
  <si>
    <t>Prénom</t>
  </si>
  <si>
    <t>Toto</t>
  </si>
  <si>
    <t>N°</t>
  </si>
  <si>
    <t>PBS CH NE 221-26</t>
  </si>
  <si>
    <t>Nom</t>
  </si>
  <si>
    <t>Tutu</t>
  </si>
  <si>
    <t>Date</t>
  </si>
  <si>
    <t>Mercredi 8 avril 2026</t>
  </si>
  <si>
    <t>Commentaire général de la maîtrise</t>
  </si>
  <si>
    <t>Récapitulatif points positifs</t>
  </si>
  <si>
    <t>Récapitulatif points à améliorer</t>
  </si>
  <si>
    <t>Critère de réussite du cours</t>
  </si>
  <si>
    <t>Toutes les sphères minimum à 80%</t>
  </si>
  <si>
    <t>Sphère</t>
  </si>
  <si>
    <t>Moyenne</t>
  </si>
  <si>
    <t>Report du commentaire global de la sphère</t>
  </si>
  <si>
    <t>Posture</t>
  </si>
  <si>
    <t>Min</t>
  </si>
  <si>
    <t>Réussite du cours</t>
  </si>
  <si>
    <t>1. Planification randonnée</t>
  </si>
  <si>
    <t>2. Réalisation randonnée</t>
  </si>
  <si>
    <t>3. Correction randonnée</t>
  </si>
  <si>
    <t>4. Planifier activité d'ampleur</t>
  </si>
  <si>
    <t>5. Animer sport de camp</t>
  </si>
  <si>
    <t>6. Correction SC</t>
  </si>
  <si>
    <t>7. Correction AC</t>
  </si>
  <si>
    <t>1. Programme de camp</t>
  </si>
  <si>
    <t>2. Administration du camp</t>
  </si>
  <si>
    <t>3. Concept de sécurité</t>
  </si>
  <si>
    <t>4. Réunions</t>
  </si>
  <si>
    <t>4. Organisation maîtrises</t>
  </si>
  <si>
    <t>1. Activité de grande ampleur</t>
  </si>
  <si>
    <t>2. Programme de camp</t>
  </si>
  <si>
    <t>3. Programme annuel</t>
  </si>
  <si>
    <t>Critère éliminatoire</t>
  </si>
  <si>
    <t>Joker</t>
  </si>
  <si>
    <t>AUCUN</t>
  </si>
  <si>
    <t>En cas de besoin, la maîtrise dispose d'un Joker qu'elle peut invoquer pour modifier la note d'une sphère, d'un demi point.
Par exemple, si elle juge que le participant peut obtenir sa licence alors que la qualification non.
Il est possible d'utiliser le joker une seule fois, si la maîtrise choisit de l'utiliser, elle doit détailler pour quelles raisons, et indiquer pour quelle sphère.</t>
  </si>
  <si>
    <t>Ou :</t>
  </si>
  <si>
    <t>Justificatif</t>
  </si>
  <si>
    <t>Posture du chef de camp SdC/T</t>
  </si>
  <si>
    <t>Commentaire général</t>
  </si>
  <si>
    <t>Sera reporté dans la Synthèse</t>
  </si>
  <si>
    <t>A. Collaboration - Maîtrise/Humain</t>
  </si>
  <si>
    <t>Commentaire</t>
  </si>
  <si>
    <t>Quand</t>
  </si>
  <si>
    <t>Énergie globale</t>
  </si>
  <si>
    <t>A1. Collabore efficacement avec les autres</t>
  </si>
  <si>
    <t>A2. Critique de manière constructive</t>
  </si>
  <si>
    <t>A3. Cherche des relations collégiales dans chaque situation</t>
  </si>
  <si>
    <t>A4. Instaure une dynamique harmonieuse et respectueuse de chacun.e</t>
  </si>
  <si>
    <t>A5. Identifie les dynamiques internes et réagit en conséquence</t>
  </si>
  <si>
    <t>B. Collaboration - Objectif commun</t>
  </si>
  <si>
    <t>B1. Contribue à l'atteinte des buts et objectifs (idées, critiques, améliorations, solutions adéquates, etc.)</t>
  </si>
  <si>
    <t>B2. Identifie les compétences et caractères de chaque membre de son équipe et crée une dynamique de travail efficace</t>
  </si>
  <si>
    <t>B3. Agit de manière autonome</t>
  </si>
  <si>
    <t>B4. Endosse le rôle adéquat en vue d'atteindre les objectifs fixés</t>
  </si>
  <si>
    <t>B5. Utilise son savoir et ses connaissances de manière utile et adéquate (partage, aide, etc.)</t>
  </si>
  <si>
    <t>C. Environnement - Vision d'ensemble</t>
  </si>
  <si>
    <r>
      <t>C1. Contribue/</t>
    </r>
    <r>
      <rPr>
        <i/>
        <sz val="10"/>
        <color theme="1"/>
        <rFont val="Aptos Narrow"/>
        <family val="2"/>
      </rPr>
      <t>veille</t>
    </r>
    <r>
      <rPr>
        <sz val="10"/>
        <color theme="1"/>
        <rFont val="Aptos Narrow"/>
        <family val="2"/>
      </rPr>
      <t xml:space="preserve"> au bien-être général</t>
    </r>
  </si>
  <si>
    <t>C2. Anticipe les besoins globaux et personnels</t>
  </si>
  <si>
    <t>D. Adaptation - Réaction au stress</t>
  </si>
  <si>
    <t>Énergie individuelle</t>
  </si>
  <si>
    <t>D1. Garde la tête froide en situation de stress (calme, ton adéquat, autonomie, etc.)</t>
  </si>
  <si>
    <t>D2. Réagit de manière adaptée dans une situation de stress</t>
  </si>
  <si>
    <t>D3. Garde une vision globale en tout temps</t>
  </si>
  <si>
    <t>E. Engagement personnel - Proactivité</t>
  </si>
  <si>
    <t>E1. S'affirme dans un groupe de manière adaptée</t>
  </si>
  <si>
    <t>E2. Fait preuve d'initiative et d'investissement</t>
  </si>
  <si>
    <t>E3. Montre de l'intérêt en toute situation ( = respect)</t>
  </si>
  <si>
    <t>E4. A du feeling avec les participant.e.s (et les formateurices)</t>
  </si>
  <si>
    <t>E5. Utilise son savoir et ses connaissances (partage)</t>
  </si>
  <si>
    <t>E6. Agit de manière proactive</t>
  </si>
  <si>
    <t>F. Comportement - Communication</t>
  </si>
  <si>
    <t>Comportement du/de la participant.e</t>
  </si>
  <si>
    <t>F1. Parle avec assurance</t>
  </si>
  <si>
    <t>F2. S'exprime de manière intelligible</t>
  </si>
  <si>
    <t>F3. Adapte son discours à la situation/personne</t>
  </si>
  <si>
    <t>F4. Adapte sa posture/gestuelle à la situation (écoute active, CNV)</t>
  </si>
  <si>
    <t>G. Comportement - Actions</t>
  </si>
  <si>
    <t>G1. Agit avec assurance</t>
  </si>
  <si>
    <t>G2. Agit en leader</t>
  </si>
  <si>
    <t>G3. Agit de manière autonome</t>
  </si>
  <si>
    <t>G4. Agit de manière responsable et réfléchie</t>
  </si>
  <si>
    <t>G5. Est fidèle, serviable, rigoureux, discipliné, franc, etc.</t>
  </si>
  <si>
    <t>H. Comportement - Attitude</t>
  </si>
  <si>
    <t>H1. Montre la volonté de réussir le cours</t>
  </si>
  <si>
    <r>
      <t>H2. Renvoie une image d'exemple pour les jeunes/</t>
    </r>
    <r>
      <rPr>
        <i/>
        <sz val="10"/>
        <color theme="1"/>
        <rFont val="Aptos Narrow"/>
        <family val="2"/>
      </rPr>
      <t>responsables</t>
    </r>
  </si>
  <si>
    <t>H3. Renvoie l'image d'une personne de confiance et garante de la sécurité</t>
  </si>
  <si>
    <t>H4. Pense de manière autonome</t>
  </si>
  <si>
    <t>H5. A une attitude responsable et réfléchie</t>
  </si>
  <si>
    <t>H6. S'investit pour s'améliorer</t>
  </si>
  <si>
    <t>H7. Critique de manière constructive</t>
  </si>
  <si>
    <r>
      <t xml:space="preserve">H8. Se remet en question suite à la critique </t>
    </r>
    <r>
      <rPr>
        <i/>
        <sz val="10"/>
        <color theme="1"/>
        <rFont val="Aptos Narrow"/>
        <family val="2"/>
      </rPr>
      <t>ou de lui/elle-même</t>
    </r>
  </si>
  <si>
    <t>H9. Prend du recul suite à la critique</t>
  </si>
  <si>
    <t>H10. Fait preuve d'ouverture d'esprit et de tolérance</t>
  </si>
  <si>
    <t>H11. Apporte de la motivation</t>
  </si>
  <si>
    <t>I. Personnalité - Estime de soi</t>
  </si>
  <si>
    <t>Personnalité du/de la participant.e</t>
  </si>
  <si>
    <t>I1. Evalue sa progression personnelle</t>
  </si>
  <si>
    <t>I2. Formule des objectifs personnels pertinents</t>
  </si>
  <si>
    <t>I3. S'auto-évalue de manière adéquate</t>
  </si>
  <si>
    <t>J. Personnalité - Forces et limites</t>
  </si>
  <si>
    <t>J1. Identifie/exprime ses forces et ses limites</t>
  </si>
  <si>
    <t>Questions pour répartir les observations :</t>
  </si>
  <si>
    <t>1. Se focalise sur le participant.e ?</t>
  </si>
  <si>
    <t>1.A. Si oui : concerne le comportement ou la personnalité du participant.e ?</t>
  </si>
  <si>
    <t>Comportement : choisir une catégorie parmi Communication, Actions ou Attitudes [F,G,H]</t>
  </si>
  <si>
    <t>Personnalité : choisir une catégorie parmi Estime de soi ou Forces-limites [I,J]</t>
  </si>
  <si>
    <r>
      <t xml:space="preserve">1.B. Si non : la dynamique est-elle plutôt </t>
    </r>
    <r>
      <rPr>
        <b/>
        <sz val="11"/>
        <color theme="8" tint="-0.249977111117893"/>
        <rFont val="Aptos Narrow"/>
        <family val="2"/>
      </rPr>
      <t>globale</t>
    </r>
    <r>
      <rPr>
        <sz val="11"/>
        <color theme="1"/>
        <rFont val="Aptos Narrow"/>
        <family val="2"/>
      </rPr>
      <t xml:space="preserve"> ou </t>
    </r>
    <r>
      <rPr>
        <b/>
        <sz val="11"/>
        <color theme="5"/>
        <rFont val="Aptos Narrow"/>
        <family val="2"/>
      </rPr>
      <t>individuelle</t>
    </r>
    <r>
      <rPr>
        <sz val="11"/>
        <color theme="1"/>
        <rFont val="Aptos Narrow"/>
        <family val="2"/>
      </rPr>
      <t xml:space="preserve"> ?</t>
    </r>
  </si>
  <si>
    <r>
      <rPr>
        <b/>
        <sz val="11"/>
        <color theme="8" tint="-0.249977111117893"/>
        <rFont val="Aptos Narrow"/>
        <family val="2"/>
      </rPr>
      <t>Globale</t>
    </r>
    <r>
      <rPr>
        <sz val="11"/>
        <color theme="1"/>
        <rFont val="Aptos Narrow"/>
        <family val="2"/>
      </rPr>
      <t xml:space="preserve"> : est-ce une situation de collaboration ou de vision d'ensemble ?</t>
    </r>
  </si>
  <si>
    <t>Collaboration : choisir une catégorie parmi Axé maîtrise-humain ou Axé objectif commun [A,B]</t>
  </si>
  <si>
    <t>Vision d'ensemble : l'observation est liée à l'atmosphère, à la situation [C]</t>
  </si>
  <si>
    <r>
      <rPr>
        <b/>
        <sz val="11"/>
        <color theme="5"/>
        <rFont val="Aptos Narrow"/>
        <family val="2"/>
      </rPr>
      <t>Individuelle</t>
    </r>
    <r>
      <rPr>
        <sz val="11"/>
        <color theme="1"/>
        <rFont val="Aptos Narrow"/>
        <family val="2"/>
      </rPr>
      <t xml:space="preserve"> : choisir une catégorie parmi Adaptation au stress ou Proactivité [D,E]</t>
    </r>
  </si>
  <si>
    <t>A - Techniques JS</t>
  </si>
  <si>
    <t>Colonnes d'informations supplémentaires</t>
  </si>
  <si>
    <t>Nombre d'indicateurs vides</t>
  </si>
  <si>
    <t>Moyenne des indicateurs (tous confondus, sans passer par les pondérations)</t>
  </si>
  <si>
    <t>Note de spère sans arrondi</t>
  </si>
  <si>
    <t>Delta entre note sphèe arrondie et sans arrondi</t>
  </si>
  <si>
    <t>Pond. Obj.</t>
  </si>
  <si>
    <t>Pondérations</t>
  </si>
  <si>
    <t>Final</t>
  </si>
  <si>
    <t>Moy critères</t>
  </si>
  <si>
    <t>Moy objectif</t>
  </si>
  <si>
    <t>Note de la sphère en % (3 = 100)</t>
  </si>
  <si>
    <t>Objectifs</t>
  </si>
  <si>
    <t>Critère</t>
  </si>
  <si>
    <t>objectif</t>
  </si>
  <si>
    <t>Indicateur</t>
  </si>
  <si>
    <t>sans arrondi</t>
  </si>
  <si>
    <t>delta entre objectif arrondi et non arrondi</t>
  </si>
  <si>
    <t>1. Planifier une randonnée pour la branche éclais</t>
  </si>
  <si>
    <t>1. Un tracé de randonnée adapté est conçu</t>
  </si>
  <si>
    <t>Le tracé est lisible (contraste, les informations sont lisibles, on arrive à lire la carte sous les indications)</t>
  </si>
  <si>
    <t>L'itinéraire est adapté aux participant.e.s (itensité, difficulté)</t>
  </si>
  <si>
    <t>L'itinéraire évite les dangers, si impossible ces derniers sont clairement identifiés</t>
  </si>
  <si>
    <t>Les points de passage sont indiqués clairement et numérotés</t>
  </si>
  <si>
    <t>Des points de non-retour et échappatoires sont prévus lorsque nécessaire</t>
  </si>
  <si>
    <t>2. Un dispositif de marche de randonnée est réalisé</t>
  </si>
  <si>
    <t>Le canevas du dispositif de marche et rempli correctement (responsable, n° de carte, date)</t>
  </si>
  <si>
    <t>Les points de passage sont numérotés et précisément identifiés (lieu-dit ou coordonnées correctes)</t>
  </si>
  <si>
    <t>Les points de passage se retrouvent dans le tracé</t>
  </si>
  <si>
    <t>Les altitudes sont relevées correctement</t>
  </si>
  <si>
    <t>Les distances sont relevées correctement</t>
  </si>
  <si>
    <t>Les ponts et tunnels entre points du dispositif sont évités ou raisonnables</t>
  </si>
  <si>
    <t>Le plan horaire est réaliste (pauses régulières d'une durée adaptée, rythme de marche adapté)</t>
  </si>
  <si>
    <t>3. Un concept de sécurité spécifique pour une randonnée est réalisé</t>
  </si>
  <si>
    <t>Les informations générales de la randonnée sont présentées (responsables, de où à où, quand)</t>
  </si>
  <si>
    <t>Les informations générales concernant le groupe sont présentes (nombre, âges, expérience)</t>
  </si>
  <si>
    <t>Les risques majeurs sont identifiés (terrain, environnement, groupe), 3x3</t>
  </si>
  <si>
    <t>Pour les risques identifiés, des mesures adaptées sont prévues</t>
  </si>
  <si>
    <t>Une liste de matériel exhaustive est proposée</t>
  </si>
  <si>
    <t>Les critères d'annulation sont clairement définis, ainsi que l'alternative</t>
  </si>
  <si>
    <t>Les responsabilités sont définies au sein des responsables</t>
  </si>
  <si>
    <t>Une réaction en cas de crise est prévue, elle est réaliste et applicable</t>
  </si>
  <si>
    <t>2. Réaliser une randonnée pour la branche éclais</t>
  </si>
  <si>
    <t>1. Une adaptation aux éléments prévus dans le 3x3 a lieu tout au long de la randonnée</t>
  </si>
  <si>
    <t>Attention axée sur le groupe tout au long de la marche</t>
  </si>
  <si>
    <t>Attention axée sur l'environnement au long de la marche (attentif aux dangers, annonce les dangers)</t>
  </si>
  <si>
    <t>Attention axée sur le terrain tout au long de la marche (se repère,  emmène le groupe au bon endroit)</t>
  </si>
  <si>
    <t>Bonne communication entre les animateurices de la marche (transmission infos avant/arrière)</t>
  </si>
  <si>
    <t>2. Les outils d'orientation et topographiques sont utilisés pour s'orienter correctement</t>
  </si>
  <si>
    <t>Utiliser une boussole : orienter la carte, suivre un azimut, relever un azimut, le reporter sur la carte</t>
  </si>
  <si>
    <t>Se repérer sur une carte : estimer des distances et des dénivelés, report et relevée de coordonnées</t>
  </si>
  <si>
    <t>Choisir un point de non retour et une échappatoire pour "secourir" une patrouille</t>
  </si>
  <si>
    <t>Repérer et conseiller une patrouille à l'aide du tracé et du dispositif de marche</t>
  </si>
  <si>
    <t>3. Effecuer des corrections de qualité et donner un retour sur une randonnée de la branche éclais</t>
  </si>
  <si>
    <t>1. Les aspects importants d'une randonnée sont vérifiés</t>
  </si>
  <si>
    <t>Correction sur la globalité du remplissage du canevas (responsable, n° de cartes, nom de la rando, etc)</t>
  </si>
  <si>
    <t>Correction de l'itinéraire (adapté aux participant.e.s, à la région et aux exigences J+S)</t>
  </si>
  <si>
    <t>Dispositif de marche cohérent avec le tracé (correspondance des points)</t>
  </si>
  <si>
    <t>Ponts et tunnels raisonnables sur le dispositif de marche (points de passage judicieux)</t>
  </si>
  <si>
    <t>Données relevées correctement (coordonnées, altitudes, distances)</t>
  </si>
  <si>
    <t>Plan horaire cohérent (pauses régulières et judicieusement placées, rythme de marche adapté au P)</t>
  </si>
  <si>
    <t>Lisibilité de la carte (traçé et informations lisibles, echelle adaptée)</t>
  </si>
  <si>
    <t>2. Les aspects importants d'un concept de sécurité spécifique de randonnée sont vérifiés</t>
  </si>
  <si>
    <t>Critères d'annulations présents</t>
  </si>
  <si>
    <t>Variante en cas de mauvais temps</t>
  </si>
  <si>
    <t>Identification des risques cohérente (saison, terrain et groupe)</t>
  </si>
  <si>
    <t>Mesures préventives pour répondre aux risques identifiés</t>
  </si>
  <si>
    <t>Réaction en cas de crise</t>
  </si>
  <si>
    <t>Responsabilités réparties au sein de la maîtrise</t>
  </si>
  <si>
    <t>3. Des commentaires pertinents et de qualité sont transmis</t>
  </si>
  <si>
    <t>Des éléments positifs sont relevés</t>
  </si>
  <si>
    <t>Les points principaux à améliorer sont relevés</t>
  </si>
  <si>
    <t xml:space="preserve">Les commentaires sont orientés solution </t>
  </si>
  <si>
    <t>Les commentaires sont clairs et concis</t>
  </si>
  <si>
    <t>Les commentaires sont constructifs</t>
  </si>
  <si>
    <t>4. Planifier une activité de grande ampleur pour la branche éclais</t>
  </si>
  <si>
    <t>1. Une déclaration pour une activité de grande ampleur est réalisée</t>
  </si>
  <si>
    <t>Toutes les informations générales de l'activité sont saisies correctement</t>
  </si>
  <si>
    <t>Les consignes de réalisation de l'activité sont respectées</t>
  </si>
  <si>
    <t>Les descriptions et textes sont compréhensibles, explications claires</t>
  </si>
  <si>
    <t>Les objectifs de l'activité sont adaptés et réalistes</t>
  </si>
  <si>
    <t>Le système de rallye et clair, son fonctionnement est applicable</t>
  </si>
  <si>
    <t>Une variante appplicable est présente</t>
  </si>
  <si>
    <t>2. Une déclaration pour un poste SC de 30 min est réalisée</t>
  </si>
  <si>
    <t>Le sport est adapté aux participant.e.s</t>
  </si>
  <si>
    <t>Les consignes du sport sont claires et compréhensibles</t>
  </si>
  <si>
    <t>Courbe d'intensité cohérente</t>
  </si>
  <si>
    <t>Le canevas de déclaration est correctement rempli</t>
  </si>
  <si>
    <t>Originalité</t>
  </si>
  <si>
    <t>Liste de matériel cohérente</t>
  </si>
  <si>
    <t>Règles de sécurité présentes</t>
  </si>
  <si>
    <t>Variante prévue</t>
  </si>
  <si>
    <t>3. Une déclaration pour un poste AC de 30 min est réalisée</t>
  </si>
  <si>
    <t>L'activité proposée rentrent dans les domaines d'AC JS indiqués dans la décla.</t>
  </si>
  <si>
    <t>L'activité est adaptée aux participant.e.s</t>
  </si>
  <si>
    <t>Les consignes de l'activité sont claires et compréhensibles</t>
  </si>
  <si>
    <t>5. Adapter et animer un sport de camp selon des contraintes externes</t>
  </si>
  <si>
    <t>1. Un sport de camp est adapté en prenant en compte les contraintes externes</t>
  </si>
  <si>
    <t>Réaction adéquate face aux contraintes</t>
  </si>
  <si>
    <t>Adaptation réaliste et fonctionnelle</t>
  </si>
  <si>
    <t>Il s'agit toujours d'un sport de camp</t>
  </si>
  <si>
    <t>Les exigences JS sont respectées</t>
  </si>
  <si>
    <t>Prise en compte de la courbe d'intensité</t>
  </si>
  <si>
    <t>2. Un sport de camp est animé de manière adaptée</t>
  </si>
  <si>
    <t>Attentif à la sécurité des participant.e.s</t>
  </si>
  <si>
    <t>Explications claires et compréhensibles</t>
  </si>
  <si>
    <t>Cadre et règles correctement maintenus au long du sport</t>
  </si>
  <si>
    <t>3. Un sport de camp est évalué de manière adéquate</t>
  </si>
  <si>
    <t>Points positifs relevés</t>
  </si>
  <si>
    <t>Points d'amélioration relevés</t>
  </si>
  <si>
    <t>Les remarques sont justes et constructives (ni dans le déni ni dans l'excès)</t>
  </si>
  <si>
    <t>6. Effectuer des corrections de qualité pour un sport de camp</t>
  </si>
  <si>
    <t>1. Les aspects essentiels d'un sport de camp sont vérifiés</t>
  </si>
  <si>
    <t>Informations générales de l'activité complètes et cohérentes</t>
  </si>
  <si>
    <t>Les explications sont claires</t>
  </si>
  <si>
    <t>Liste de matériel cohérente et commentée</t>
  </si>
  <si>
    <t>Sécurité observée et commentée</t>
  </si>
  <si>
    <t>Descriptif commenté</t>
  </si>
  <si>
    <t>2. Des commentaires pertinents et de qualité sont effectués</t>
  </si>
  <si>
    <t>7. Effectuer des corrections de qualité pour une activité de camp</t>
  </si>
  <si>
    <t>1. Les aspects essentiels d'une activité de camp sont vérifiés</t>
  </si>
  <si>
    <t>Informations générales de l'activité correctes</t>
  </si>
  <si>
    <t>B - Organisation</t>
  </si>
  <si>
    <t>1. Réaliser un programme de camp</t>
  </si>
  <si>
    <t>1. Le programme de camp est lisible</t>
  </si>
  <si>
    <t>Les informations générales sont correctement rempli (lieu, dates, resp de camp, etc)</t>
  </si>
  <si>
    <t>Les informations J&amp;S sont correctement remplies (Type de camp, Nb de jours JS, etc)</t>
  </si>
  <si>
    <t>Les objectifs d'unité sont compréhensibles et réaliste</t>
  </si>
  <si>
    <t>Les RUs se sont appropriés le canevas</t>
  </si>
  <si>
    <r>
      <t xml:space="preserve">2. Le programme de camp respecte les exigences J+S </t>
    </r>
    <r>
      <rPr>
        <b/>
        <i/>
        <strike/>
        <sz val="11"/>
        <color theme="1"/>
        <rFont val="Aptos Narrow"/>
        <family val="2"/>
      </rPr>
      <t>et MSdS</t>
    </r>
  </si>
  <si>
    <t>Les activités sont numérotées, le responsable de l'activité est indiqué</t>
  </si>
  <si>
    <t>Le programme de camp permet d'atteindre les objectifs de camp fixés</t>
  </si>
  <si>
    <t>Activités variées et équilibrées</t>
  </si>
  <si>
    <t>Les participant.e.s ont l'opportunités de prendre part à certaines décisions</t>
  </si>
  <si>
    <t>Les minimas J+S sont respectés (nb d'heures J+S) et permette l'équilibrage du programme</t>
  </si>
  <si>
    <t>2. Planifier et administrer un camp à l'aide des outils à disposition</t>
  </si>
  <si>
    <t>1. Les quantités figurant dans la liste de matériel de camp sont cohérentes</t>
  </si>
  <si>
    <t>La liste est lisible, on comprend quel matériel est prévu, en quelles quantités</t>
  </si>
  <si>
    <t>Matériel de cuisine adapté au camp (nb part notamment)</t>
  </si>
  <si>
    <t>Matériel pour les activités cohérent avec les activités prévues durant le camp</t>
  </si>
  <si>
    <t>Matériel de technique de pionnier adapté (pour constructions, spécialités...)</t>
  </si>
  <si>
    <t>Tentes, toiles de tentes, bâches adapté (nb part, bivouac)</t>
  </si>
  <si>
    <t>Outillage</t>
  </si>
  <si>
    <t>Sécurité et infirmerie</t>
  </si>
  <si>
    <t>Sanitaire</t>
  </si>
  <si>
    <t>2. L'implémentation du terrain de camp est présente</t>
  </si>
  <si>
    <t>Bail à louer correctement rempli (section 1 à 3)</t>
  </si>
  <si>
    <t>Infrastructures essentielles présentes (tentes, réfectroire, cuisine, tente mat, latrines...)</t>
  </si>
  <si>
    <t>Placement adaté aux risques (pente, vent)</t>
  </si>
  <si>
    <t>Distances cohérentes et réalistes (sécurité)</t>
  </si>
  <si>
    <t>Le plan est utilisable sur le terrain (Echelle, légende, lisibilité, etc)</t>
  </si>
  <si>
    <t xml:space="preserve">3. La circulaire de camp est rédigée de manière complète </t>
  </si>
  <si>
    <t>Les informations du camp sont énoncées et adaptées (date, région, public, type de camp, etc)</t>
  </si>
  <si>
    <t>L'encadrement du camp est énoncé et adapté (personne de contact, J&amp;S, etc)</t>
  </si>
  <si>
    <t>La modalité pour le paiement est formulé (Prix, moyen de paiement, délai, aide au paiement)</t>
  </si>
  <si>
    <t>Les informations sur la protection des données apparaisent (photo, protection des données, etc)</t>
  </si>
  <si>
    <t>Les informations demandé pour le questionnaire médical sont adaptées (allergies, AVS, etc)</t>
  </si>
  <si>
    <t>Le bulletin d'inscription est clair (date, signature, à qui et comment le rendre, délais, etc)</t>
  </si>
  <si>
    <t>4. Les informations essentielles du camp sont transmises lors d'une présentation</t>
  </si>
  <si>
    <t>Temps de parole réparti équitablement</t>
  </si>
  <si>
    <t>Support de présentation pertinent, qui sert le propos</t>
  </si>
  <si>
    <t>Les éléments essentiels d'un camp sont présents dans la présentation (selon instructions)</t>
  </si>
  <si>
    <t>Les réponses aux questions sont pertinentes et cohérentes</t>
  </si>
  <si>
    <t>La communication est adapté au public (posture, langage,etc)</t>
  </si>
  <si>
    <t>3. Réaliser un concept de sécurité de camp complet</t>
  </si>
  <si>
    <t>1. La gestion de crise pendant le camp est planifiée</t>
  </si>
  <si>
    <t>Intégration du concept cantonal de gestion de crise dans la planification de camp</t>
  </si>
  <si>
    <t xml:space="preserve">Une marche à suivre en cas de situation de crise est planifiée de manière claire et complète </t>
  </si>
  <si>
    <t>Les numéros d'urgence / ressources médicales sont présents</t>
  </si>
  <si>
    <t>Les hopitaux et pharmacies de la région sont identifiés et indiqués</t>
  </si>
  <si>
    <t>2. Les risques sont identifiés</t>
  </si>
  <si>
    <t>Les risques généraux du camp sont identifiés</t>
  </si>
  <si>
    <t>Les risques spécifiques liés aux participants du camp sont identifiés</t>
  </si>
  <si>
    <t>Les risques spécifiques à la saison du camp sont identifiés</t>
  </si>
  <si>
    <t>Les risques spécifiques au terrain de camp sont identifiés</t>
  </si>
  <si>
    <t>3. Les mesures préventives relatives aux risques sont identifiées</t>
  </si>
  <si>
    <t xml:space="preserve">Risques généraux du camp </t>
  </si>
  <si>
    <t>Risques spécifiques liés aux participants du camp</t>
  </si>
  <si>
    <t>Risques spécifiques à la saison du camp</t>
  </si>
  <si>
    <t xml:space="preserve">Risques spécifiques au terrain de camp </t>
  </si>
  <si>
    <t>4. Les informations générales du camp sont présentes</t>
  </si>
  <si>
    <t xml:space="preserve">Le nom et le n° des encadrants pricipaux du camp sont intégrés au concept de sécurité </t>
  </si>
  <si>
    <t>La liste des activités nécessitant un concept de sécurité est complété selon le planning</t>
  </si>
  <si>
    <t>L'effectif de camp est cohérent (nb de cuistot, nb de responsable, etc)</t>
  </si>
  <si>
    <t>La localisation du camp est indiquée clairement (adresse, coordonnées, carte)</t>
  </si>
  <si>
    <t xml:space="preserve">5. Les règles liées à la santé et l'hygiène sont intégrées au concept de sécurité </t>
  </si>
  <si>
    <t>Un concept d'hygiène est présent (lié à la cuisine et aux maladies)</t>
  </si>
  <si>
    <t>Les règles liées à la sphère intime sont indiquées</t>
  </si>
  <si>
    <t>Le comportement avec la charte de camp est indiqué</t>
  </si>
  <si>
    <t>6. La réaction en cas d'urgence est appliquée</t>
  </si>
  <si>
    <t>Assure la réaction minimum en cas de situation de crise selon CdS (secours, cellule de crise, coach)</t>
  </si>
  <si>
    <t>Ne dégrade pas la situation (est capable de garder son calme)</t>
  </si>
  <si>
    <t>La réaction en cas de crise du CdS à été adaptée au regard de l'exercice de réaction en cas d'urgence</t>
  </si>
  <si>
    <t>4. Planifier et diriger des maîtrises</t>
  </si>
  <si>
    <t>1. Réalisation d'un ordre du jour et tenue d'un PV</t>
  </si>
  <si>
    <t>OdJ, Tous les points à aborder dans la maîtrise sont présents (voir objectifs de la maîtrise)</t>
  </si>
  <si>
    <t>OdJ, Le canevas est rempli correctement (titre, date, liste de présence, sommaire, lisibilité)</t>
  </si>
  <si>
    <t>PV, Synthèse utile et claire des discussions pour chaque point de l'OdJ</t>
  </si>
  <si>
    <t>PV, Les décisions prises lors de la maitrise sont retranscrites, et facilement identifiables</t>
  </si>
  <si>
    <t>PV, Les éventuelles tâches a réaliser sont indiquées et réparties</t>
  </si>
  <si>
    <t>Lisibilité des documents (mise en page, ortographe, vocabulaire, formulations)</t>
  </si>
  <si>
    <t>2. Une maîtrise est menée</t>
  </si>
  <si>
    <t>L'ordre du jour est suivi, éventuellement adapté de manière cohérente</t>
  </si>
  <si>
    <t>Prend en compte les apports et remarques de sa maîtrise et répond aux éventuelles questions</t>
  </si>
  <si>
    <t>Acte de manière claire les décisions qui sont prises</t>
  </si>
  <si>
    <t xml:space="preserve">Respect du temps de parole de tous les membres de l'équipe </t>
  </si>
  <si>
    <t>Est attentif aux différentes personnalités de sa maîtrise et les prend en compte</t>
  </si>
  <si>
    <t>3. Un retour à chaud constructif sur les acctivités des moniteurs est donné</t>
  </si>
  <si>
    <t>Le retour est constructif, le RU propose des pistes et/ou des directions à prendre</t>
  </si>
  <si>
    <t>Le retour permet au moniteur de se remettre en questions (formulation en questions)</t>
  </si>
  <si>
    <t>Le retour ne contient pas d'erreurs (respect des règles J+S  et du MSdS)</t>
  </si>
  <si>
    <t>5. Organiser sa maîtrise d'unité/de camp pour une collaboration efficace</t>
  </si>
  <si>
    <t>1. La gestion de la maîtrise est planifié dans le programme de camp</t>
  </si>
  <si>
    <t>Charge équilibrée entre les membres de la maîtrise (Nombre d'activité, tâches journalières, lien entre les deux)</t>
  </si>
  <si>
    <t>Activités de maîtrise / moment "participant" pour la maîtrise</t>
  </si>
  <si>
    <t>Suffisament de PF prévu durant le programme et leurs durées et leurs placements sont adapté au besoin estimé</t>
  </si>
  <si>
    <t>2. La gestion de la maîtrise est planifié dans le programme annuel</t>
  </si>
  <si>
    <t>Des maîtrises sont planifiées en suffisance et de manière judicieuse selon la description de gestion de maîtrise</t>
  </si>
  <si>
    <t>Les membres de la maîtrise ont l'opportunité de vivre des moments en tant que participant.e.s</t>
  </si>
  <si>
    <t>L'équilibre de la réparition des séances entre les responsable est réfléchies</t>
  </si>
  <si>
    <t>La charge de travail est équilibrée entre les membres de la maîtrise et prend en compte la prériode</t>
  </si>
  <si>
    <t>C - Scoutisme</t>
  </si>
  <si>
    <t>1. Concevoir une journée d'activité de camp pour la branche concernée (activité de grande ampleur)</t>
  </si>
  <si>
    <t>1. L'activité intègre la méthodologie scoute de la branche concernée</t>
  </si>
  <si>
    <t>La ou les relations choisies sont pertinentes et en lien avec le descriptif de l'activité</t>
  </si>
  <si>
    <t>La ou les méthodes choisies sont pertinentes et en lien avec le descriptif de l'activité</t>
  </si>
  <si>
    <t>Le choix de méthodes et de relations permet d'atteindre l'objectif ou les objectifs de l'activité</t>
  </si>
  <si>
    <t>2. Un thème est présent dans l'activité</t>
  </si>
  <si>
    <t>Développement du thème, inscrit dans le canevas, durant les parties de l'activité</t>
  </si>
  <si>
    <t>Originalité dans le choix de développement du thème</t>
  </si>
  <si>
    <t>Le thème et son fil rouge prend en compte les besoins du groupe cible</t>
  </si>
  <si>
    <t>2. Concevoir un programme de camp pour la branche concernée</t>
  </si>
  <si>
    <t>1. Le programme respecte les besoins généraux des participant.e.s</t>
  </si>
  <si>
    <t>Temps de sommeil adéquat (temps de préparation avant/après la nuit, adaptation en fonction du programme)</t>
  </si>
  <si>
    <t>Horaires d'activités cohérents (repas, corvé, transport, taille des blocs, temps de changement)</t>
  </si>
  <si>
    <t>Temps libres (Fréquence et répartition, plage suffisement longue pour développer l'autonomie, libre orienté)</t>
  </si>
  <si>
    <t>Hygiène respectée (fréquence, cohérence des placements)</t>
  </si>
  <si>
    <t>2. Le programme propose un thème adapté au groupe cible</t>
  </si>
  <si>
    <t xml:space="preserve">Présence du thème le long du programme de camp </t>
  </si>
  <si>
    <t>3. Le programme intègre les relations et les méthodes de manière équilibrée</t>
  </si>
  <si>
    <t>Des phases d'apprentissage sont prévues afin de répondre aux objectifs de camp</t>
  </si>
  <si>
    <t>L'équilibre des méthodes et relations permet d'atteindre les objectifs de camp fixés</t>
  </si>
  <si>
    <t>L'équilibre d'AC, SC et AdA permet d'atteindre les objectifs de camps fixés</t>
  </si>
  <si>
    <t>4. Le programme intègre les spécificités de la branche</t>
  </si>
  <si>
    <t xml:space="preserve">Les étapes de la progression personnelle sont intégrées dans le programme </t>
  </si>
  <si>
    <t xml:space="preserve">Les spécialités de la progression personnelle sont intégrées dans le programme </t>
  </si>
  <si>
    <t>La méthode Symbolique et rituels est intégrée dans le programme</t>
  </si>
  <si>
    <t>La méthode du jeu et mouvement est intégrée dans le programme</t>
  </si>
  <si>
    <t>Des moments de reflexion personnelle sont intégrés dans le programme de camp (ex. AS)</t>
  </si>
  <si>
    <t>La méthode de la loi et la promesse est intégrée au camp</t>
  </si>
  <si>
    <t>Les participants ont l'occasion de prendre part à des projets et à des décisions</t>
  </si>
  <si>
    <t>La méthode de la vie en petit groupe est intégrée au camp</t>
  </si>
  <si>
    <t>3. Concevoir un programme annuel pour la branche choisie</t>
  </si>
  <si>
    <t>1. Les informations générales figurent sur le programme</t>
  </si>
  <si>
    <t>Les informations générales sont correctement rempli</t>
  </si>
  <si>
    <t>2. La structure générale du programme est réfléchie et cohérente</t>
  </si>
  <si>
    <t>Le choix des activités est adapté à la période et profite des opportunités de la saison</t>
  </si>
  <si>
    <t>La récurrence des séances décrite dans la gestion de maîtrise est respectée tout en prenant compte des weekends fériées</t>
  </si>
  <si>
    <t>Développement et présence du thème le long du programme annuel</t>
  </si>
  <si>
    <t>Des phases d'apprentissage sont prévues afin de répondre aux objectifs annuels</t>
  </si>
  <si>
    <t>Les méthodes sont variées au cours de l'année, tout en prenant compte les objectifs annuels</t>
  </si>
  <si>
    <t>Les relations sont variées au cours de l'année, tout en prenant compte des objectifs annuels</t>
  </si>
  <si>
    <t>4. Le programme intègre les spécificités de la branche choisie</t>
  </si>
  <si>
    <t>La progression personnelle est intégrée dans le programme (spécialités et étapes)</t>
  </si>
  <si>
    <t>La symbolique et les rituels sont présents au programme (cérémonie, passages, …)</t>
  </si>
  <si>
    <t>Des moments de reflexion personnelle sont intégrés dans le programme d'unités (ex. AS)</t>
  </si>
  <si>
    <t>La méthode du jeu et mouvement est exploitée durant les phases d'apprentissage</t>
  </si>
  <si>
    <t>L'utilisation de la méthode de la vie en pleine air est adapté à la saison</t>
  </si>
  <si>
    <t>La méthode loi et promesse est intégrée au programme annuel</t>
  </si>
  <si>
    <t>La méthode de la vie en petit groupe est intégrée dans le programme (activités de patrouille, piste en sizaine, …)</t>
  </si>
  <si>
    <t>Les participants ont l'occasion de prendre part à des projets et à des décisions (méthode apprendre en agissant)</t>
  </si>
  <si>
    <t>Les participants ont l'occasion de prendre part à la vie de la collectivité (méthode engagement pour la collectivité)</t>
  </si>
  <si>
    <t>Critères éliminatoires !</t>
  </si>
  <si>
    <t>OBLIGATOIRE : Justification de l'utilisation d'un critère éliminatoire</t>
  </si>
  <si>
    <t>Critères</t>
  </si>
  <si>
    <t>Utilisé</t>
  </si>
  <si>
    <t>Détails/Observations</t>
  </si>
  <si>
    <t>Ponctualité</t>
  </si>
  <si>
    <t>Le participant est en retard aux points de cours, malgré les avertissements (2 retards de plus de 5 min : tolérés mais avertissement. Au troisième retard : dernier avertissement).</t>
  </si>
  <si>
    <t>NON</t>
  </si>
  <si>
    <t>Présence</t>
  </si>
  <si>
    <t>Le participant a été absent à plus de 20% du cours (temps en jours).</t>
  </si>
  <si>
    <t>Le participant a loupé plus d'une heure de cours (non prévue). Il est possible de louper plus, mais seulement en avertissant la maîtrise en amont du cours, puis en acceptant et réalisant les mesures compensatoires exigées par la maîtrise).</t>
  </si>
  <si>
    <t>Le participant n'a pas participé au bivouac.</t>
  </si>
  <si>
    <t xml:space="preserve">Participation active/intérêt </t>
  </si>
  <si>
    <t>Après remarque de la maîtrise, le participant a continué à montrer du désintérêt, a décliné les opportunités de participer et n'a pas été attentif dans la globalité du cours.</t>
  </si>
  <si>
    <t xml:space="preserve">Après remarque de la maîtrise, le participant a continuer à faire preuve de mépris face aux différents contenus de cours, ne s'est pas impliqué ni investi dans sa formation. </t>
  </si>
  <si>
    <t xml:space="preserve">Pas de plagiat -&gt; s’approprier son travail </t>
  </si>
  <si>
    <r>
      <rPr>
        <sz val="11"/>
        <color rgb="FF000000"/>
        <rFont val="Aptos Narrow"/>
        <family val="2"/>
      </rPr>
      <t>Le travail a été plagié (le travail peut s’inspirer</t>
    </r>
    <r>
      <rPr>
        <sz val="11"/>
        <color rgb="FFFF0000"/>
        <rFont val="Aptos Narrow"/>
        <family val="2"/>
      </rPr>
      <t xml:space="preserve"> </t>
    </r>
    <r>
      <rPr>
        <sz val="11"/>
        <color rgb="FF000000"/>
        <rFont val="Aptos Narrow"/>
        <family val="2"/>
      </rPr>
      <t>de ressources ou d’expériences mais doit être adapté et réfléchi suivant les consignes. Un travail de rédaction et de réflexion doit être fourni. Le participant doit citer les ressources qu’il utilise directement dans les documents).</t>
    </r>
  </si>
  <si>
    <t xml:space="preserve">Gestion de ses limites </t>
  </si>
  <si>
    <t>Le participant n'a pas remis ses rendus dans les délais impartis ou dans les délais prolongés en accord avec les formateurices (plus d'une heure de retard).</t>
  </si>
  <si>
    <t>Consommation de drogues durant le cours, peu importe le moment (aucun avertissement nécessaire).</t>
  </si>
  <si>
    <t>Fumée durant les point de cours malgré le 1er avertissement.</t>
  </si>
  <si>
    <t>Consommation abusive d'alcool ou d'alcool fort malgré un premier avertissement. La consommation se répercute sur le bon déroulement du cours du participant et altère ses capacités (Vomissements, perte d'autonomie, incapacité de se lever, de s'occuper de soi, agressivité, somnolence exagérée, points de cours non suivis).</t>
  </si>
  <si>
    <t>Respect et tolérance</t>
  </si>
  <si>
    <t>Le participant a risqué de mettre en danger le groupe ou lui-même par faute de reconnaissance de ses propres limites.</t>
  </si>
  <si>
    <t>Le participant n'est pas en état de suivre le cours de manière proactive après chaque nuit (1 seul avertissement).</t>
  </si>
  <si>
    <t>Echelle</t>
  </si>
  <si>
    <t>Pour évaluer les indicateurs de la qualification, nous utilisons une échelle de couleur. Afin de simplifier l'utilisation chaque couleur est représentée par un nombre.</t>
  </si>
  <si>
    <t>Attention, chaque couleur a une signification, il ne s'agit pas d'une simple échelle de 1 a ....</t>
  </si>
  <si>
    <t>Case vide = non observé</t>
  </si>
  <si>
    <r>
      <rPr>
        <sz val="12"/>
        <color rgb="FF000000"/>
        <rFont val="Arial"/>
        <family val="2"/>
      </rPr>
      <t xml:space="preserve">Insuffisant, objectif non atteint, travail largement insuffisant. </t>
    </r>
    <r>
      <rPr>
        <b/>
        <sz val="12"/>
        <color rgb="FF000000"/>
        <rFont val="Arial"/>
        <family val="2"/>
      </rPr>
      <t>Attention, si plagiat, colorier en rouge pour repérer facilement le critère.</t>
    </r>
  </si>
  <si>
    <t>Objectif en voie d'aquisition, partiellement atteint. Le participant a compris la direction à prendre, mais le travail effectué ne permet pas d'atteindre l'objectif</t>
  </si>
  <si>
    <t>Objectif atteint, la participante a effectué le "minimum" requis pour atteindre l'objectif</t>
  </si>
  <si>
    <t>Objectif atteint avec aisance, le participant a montré de bonnes capacités et a réalisé un travail de qualité.</t>
  </si>
  <si>
    <t>Travail excellent, au-delà des attentes du cours.</t>
  </si>
  <si>
    <t>Faire l'impression depuis excel desktop (la version web bug)</t>
  </si>
  <si>
    <t>Imprimer sur du papier avec les logos préimprimés, excel fait de la m avec les logos</t>
  </si>
  <si>
    <t>Attestation de qualification</t>
  </si>
  <si>
    <t>Mercredi 3 avril 2024</t>
  </si>
  <si>
    <t>Lieux</t>
  </si>
  <si>
    <t>Les Bayards</t>
  </si>
  <si>
    <t>Qualifié en tant que :</t>
  </si>
  <si>
    <t>Moniteur JS Sport de camp/Trekking avec complément chef de camp</t>
  </si>
  <si>
    <t>Appréciation de la maîtrise</t>
  </si>
  <si>
    <t>Récapitulatif des points positifs</t>
  </si>
  <si>
    <t>Récapitulatif des points à améliorer</t>
  </si>
  <si>
    <t>Décision</t>
  </si>
  <si>
    <t>Par la présente, la maîtrise atteste que le participant a accompli son cours et rempli les critères nécessaires pour obtenir sa reconnaissance de chef de camp JS Sport de camp/Trekking.</t>
  </si>
  <si>
    <t>Pour approbation : Le responsable de cours</t>
  </si>
  <si>
    <t>Bastien Nicoud</t>
  </si>
  <si>
    <t>Critères eliminatoires</t>
  </si>
  <si>
    <t>Texte réussi</t>
  </si>
  <si>
    <t>OUI</t>
  </si>
  <si>
    <t>Par la présente, la maîtrise atteste que le ou la participante a accompli son cours et rempli les critères nécessaires pour obtenir ça reconnaissance de chef de camp JS, Sport de camp trekking.</t>
  </si>
  <si>
    <t>Jocker</t>
  </si>
  <si>
    <t>UTILISÉ</t>
  </si>
  <si>
    <t>Buts  et objectifs du cours RU selon le MSdS</t>
  </si>
  <si>
    <t>Objectif reformulé pour la qualif</t>
  </si>
  <si>
    <t>Le cours donne aux participants la possibilité de réfléchir et de discuter les fondements du Mouvement Scout.</t>
  </si>
  <si>
    <t>1.a</t>
  </si>
  <si>
    <t>... disposent de connaissances approfondies des fondements du scoutisme et savent s’en servir pour garantir l'équilibre du programme scout.</t>
  </si>
  <si>
    <t>Utilisent les fondements du scoutisme pour garantir l'équilibre du programme de semestre
Utilisent les fondements du scoutisme pour garantir l'équilibre du programme de camp</t>
  </si>
  <si>
    <t>1.b</t>
  </si>
  <si>
    <t>... disposent de connaissances approfondies des besoins des enfants et des jeunes de la branche Eclais.</t>
  </si>
  <si>
    <t>Prennent en compte les besoins des participants dans le programme de camp/semestre
Menu de camp adapté aux besoins des enfants</t>
  </si>
  <si>
    <t>1.c</t>
  </si>
  <si>
    <t>... connaissent les objectifs de la branche Eclais tels que définis dans le Profil du scoutisme, ainsi que des moyens pour les atteindre.</t>
  </si>
  <si>
    <t>1.d</t>
  </si>
  <si>
    <t>... reconnaissent l'importance des moments calmes destinés à aborder la relation au spirituel et savent les intégrer dans le programme de la branche Eclais.</t>
  </si>
  <si>
    <t>Intégration d'AS dans le programme annuel et le programme de camp</t>
  </si>
  <si>
    <t>1.e</t>
  </si>
  <si>
    <t>... disposent de connaissances approfondies de la méthode scoute de la progression personnelle et savent l'intégrer de manière durable dans la branche Eclais.</t>
  </si>
  <si>
    <t>Intègrent les méthodes scoutes et la progression personnelle dans un programme de semestre
Intègrent les méthodes scoutes et la progression personnelle dans un programme de camp</t>
  </si>
  <si>
    <t>1.f</t>
  </si>
  <si>
    <t>... connaissent les chances et les défis liés à l'intégration dans le scoutisme de personnes de culture différente.</t>
  </si>
  <si>
    <t>Le cours forme les participants à devenir des responsables d’unité ou de branche au sein d’une maîtrise.</t>
  </si>
  <si>
    <t>2.a</t>
  </si>
  <si>
    <t>... connaissent leur fonction ainsi que leurs droits et devoirs en tant que responsables d'unité ou de branche au sein de la branche Eclais.</t>
  </si>
  <si>
    <t>2.b</t>
  </si>
  <si>
    <t>... savent comment ils peuvent organiser leur unité ou leur branche (particulièrement comment assurer l’encadrement des responsables de patrouille) et connaissent des aspects de la planification à long terme.</t>
  </si>
  <si>
    <t>2.c</t>
  </si>
  <si>
    <t>... sont capables de montrer de l'assurance et représenter des intérêts.</t>
  </si>
  <si>
    <t>2.d</t>
  </si>
  <si>
    <t>... connaissent le concept cantonal de réaction en cas de crise et le rôle qu'ils y jouent.</t>
  </si>
  <si>
    <t>Intègrent le concept cantonal de gestion de crise dans leur planification de camp</t>
  </si>
  <si>
    <t>2.e</t>
  </si>
  <si>
    <t>... connaissent des moyens pour soigner consciemment les contacts avec les parents.</t>
  </si>
  <si>
    <t>Réalisent une circulaire de camp complète</t>
  </si>
  <si>
    <t>2.f</t>
  </si>
  <si>
    <t>... sont capables de développer et de mettre en œuvre, avec leur maîtrise, des stratégies permettant de gérer des enfants et des jeunes à comportement difficile.</t>
  </si>
  <si>
    <t>2.g</t>
  </si>
  <si>
    <t>... sont conscients de la problématique des dépendances et connaissent des moyens de prévention dans le programme scout ainsi que des pistes pour gérer les substances addictives au sein de la maîtrise.</t>
  </si>
  <si>
    <t>Le concept de sécurité identifie les risques liés aux dépendances et consomation de substances addictives et prévoit des mesures préventives.</t>
  </si>
  <si>
    <t>2.h</t>
  </si>
  <si>
    <t>... connaissent leur responsabilité par rapport à la prévention des abus sexuels et connaissent des mesures préventives dans ce domaine.</t>
  </si>
  <si>
    <t>2.i</t>
  </si>
  <si>
    <t>... connaissent les différentes formes de violence (psychique et physique) auxquelles ils peuvent être confrontés dans leur quotidien scout ainsi que des possibilités pour les prévenir.</t>
  </si>
  <si>
    <t>Le cours forme les participants à devenir des responsables de camp conscients de leurs responsabilités.</t>
  </si>
  <si>
    <t>3.a</t>
  </si>
  <si>
    <t>... connaissent leur fonction ainsi que leurs droits et devoirs en tant que chefs de camp.</t>
  </si>
  <si>
    <t>3.b</t>
  </si>
  <si>
    <t>... sont capables d’appliquer le règlement de camp du MSdS dans la planification.</t>
  </si>
  <si>
    <t>Appliquent le règlement de camp MSdS dans la planification</t>
  </si>
  <si>
    <t>3.c</t>
  </si>
  <si>
    <t>... connaissent les fonctions et responsabilités du coach et du RG, en particulier dans le domaine de l'encadrement des camps.</t>
  </si>
  <si>
    <t>3.d</t>
  </si>
  <si>
    <t>... connaissent le déroulement de la planification des camps, disposent d'outils pour chacune des étapes et savent administrer des camps.</t>
  </si>
  <si>
    <t>Planifient et administrent un camp à l'aide des outils à disposition.</t>
  </si>
  <si>
    <t>3.e</t>
  </si>
  <si>
    <t>... sont capables de réaliser des programmes de camp pour la branche Eclais et connaissent différentes formes de camp.</t>
  </si>
  <si>
    <t>Réalisent un programme de camp éclais</t>
  </si>
  <si>
    <t>3.f</t>
  </si>
  <si>
    <t>... sont capables de réaliser un concept de sécurité complet pour un camp.</t>
  </si>
  <si>
    <t>Réalisent un concept de sécurité de camp</t>
  </si>
  <si>
    <t>3.g</t>
  </si>
  <si>
    <t>... savent quelles mesures prendre pour garantir la santé des participants et connaissent des moyens pour gérer les maladies en camp.</t>
  </si>
  <si>
    <t>Règles liées à la santé et l'hygiène dans le cds</t>
  </si>
  <si>
    <t>3.h</t>
  </si>
  <si>
    <t>... peuvent adapter des jeux connus et organiser d'importantes activités sportives.</t>
  </si>
  <si>
    <t>Planifient une activité de grande ampleur.
Adaptent un sport de camp
Correction d'une AC et SC</t>
  </si>
  <si>
    <t>3.i</t>
  </si>
  <si>
    <t>... disposent de connaissances approfondies en planification, réalisation et évaluation de randonnées pour la branche Eclais.</t>
  </si>
  <si>
    <t>Planifient une randonnée pour la branche éclais
Réalisent une randonnée pour la branche éclais
Correction d'une randonnée</t>
  </si>
  <si>
    <t>3.j</t>
  </si>
  <si>
    <t>... les participants connaissent des possibilités pour intégrer une activité de patrouille dans un programme de camp et pour l’encadrer en conséquence.</t>
  </si>
  <si>
    <t>Le cours rend les participants capables d’accompagner et d’encadrer des jeunes responsables adjoints.</t>
  </si>
  <si>
    <t>4.a</t>
  </si>
  <si>
    <t>... connaissent leur rôle de responsable d'une maîtrise et les conditions cadres nécessaires à une collaboration efficace au sein de l’équipe.</t>
  </si>
  <si>
    <t>Dirigent une séance de préparation de camp (temps de parole)</t>
  </si>
  <si>
    <t>4.b</t>
  </si>
  <si>
    <t>... sont capables de préparer et de diriger une réunion.</t>
  </si>
  <si>
    <t>Rédigent un PV de réunion</t>
  </si>
  <si>
    <t>4.c</t>
  </si>
  <si>
    <t>... savent comment ils peuvent encadrer et encourager la progression personnelle de chaque membre de la maîtrise.</t>
  </si>
  <si>
    <t>4.d</t>
  </si>
  <si>
    <t>... connaissent des possibilités de formation et de perfectionnement.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</si>
</sst>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9">
    <font>
      <sz val="11"/>
      <color theme="1"/>
      <name val="Calibri"/>
      <family val="2"/>
      <scheme val="minor"/>
    </font>
    <font>
      <sz val="11"/>
      <color theme="1"/>
      <name val="Arial"/>
      <family val="2"/>
    </font>
    <font>
      <sz val="12"/>
      <color theme="1"/>
      <name val="Arial"/>
      <family val="2"/>
    </font>
    <font>
      <sz val="16"/>
      <color theme="1"/>
      <name val="Arial"/>
      <family val="2"/>
    </font>
    <font>
      <sz val="11"/>
      <color rgb="FF000000"/>
      <name val="Arial"/>
      <family val="2"/>
    </font>
    <font>
      <b/>
      <sz val="16"/>
      <color theme="1"/>
      <name val="Arial"/>
      <family val="2"/>
    </font>
    <font>
      <b/>
      <sz val="11"/>
      <color theme="1"/>
      <name val="Arial"/>
      <family val="2"/>
    </font>
    <font>
      <b/>
      <sz val="11"/>
      <color rgb="FF000000"/>
      <name val="Arial"/>
      <family val="2"/>
    </font>
    <font>
      <sz val="11"/>
      <color rgb="FF000000"/>
      <name val="Arial"/>
      <family val="2"/>
    </font>
    <font>
      <sz val="11"/>
      <color rgb="FF000000"/>
      <name val="Calibri"/>
      <family val="2"/>
      <scheme val="minor"/>
    </font>
    <font>
      <b/>
      <i/>
      <sz val="11"/>
      <color rgb="FF000000"/>
      <name val="Arial"/>
      <family val="2"/>
    </font>
    <font>
      <sz val="11"/>
      <color rgb="FF000000"/>
      <name val="ArialMT"/>
      <charset val="1"/>
    </font>
    <font>
      <sz val="12"/>
      <color rgb="FF000000"/>
      <name val="Arial"/>
      <family val="2"/>
    </font>
    <font>
      <b/>
      <sz val="12"/>
      <color rgb="FF000000"/>
      <name val="Arial"/>
      <family val="2"/>
    </font>
    <font>
      <sz val="11"/>
      <color rgb="FFFF0000"/>
      <name val="Arial"/>
      <family val="2"/>
    </font>
    <font>
      <b/>
      <sz val="14"/>
      <color rgb="FF000000"/>
      <name val="Arial"/>
      <family val="2"/>
    </font>
    <font>
      <sz val="14"/>
      <color rgb="FF000000"/>
      <name val="Arial"/>
      <family val="2"/>
    </font>
    <font>
      <sz val="16"/>
      <color theme="1"/>
      <name val="Aptos Narrow"/>
      <family val="2"/>
    </font>
    <font>
      <b/>
      <sz val="16"/>
      <color theme="1"/>
      <name val="Aptos Narrow"/>
      <family val="2"/>
    </font>
    <font>
      <sz val="11"/>
      <color theme="1"/>
      <name val="Aptos Narrow"/>
      <family val="2"/>
    </font>
    <font>
      <sz val="11"/>
      <color rgb="FFFFFFFF"/>
      <name val="Aptos Narrow"/>
      <family val="2"/>
    </font>
    <font>
      <sz val="11"/>
      <color rgb="FF444444"/>
      <name val="Aptos Narrow"/>
      <family val="2"/>
    </font>
    <font>
      <b/>
      <sz val="18"/>
      <color theme="1"/>
      <name val="Aptos Narrow"/>
      <family val="2"/>
    </font>
    <font>
      <sz val="11"/>
      <color rgb="FF000000"/>
      <name val="Aptos Narrow"/>
      <family val="2"/>
    </font>
    <font>
      <i/>
      <sz val="9"/>
      <color rgb="FF595959"/>
      <name val="Aptos Narrow"/>
      <family val="2"/>
    </font>
    <font>
      <b/>
      <sz val="11"/>
      <color theme="1"/>
      <name val="Aptos Narrow"/>
      <family val="2"/>
    </font>
    <font>
      <b/>
      <sz val="11"/>
      <color rgb="FF444444"/>
      <name val="Aptos Narrow"/>
      <family val="2"/>
    </font>
    <font>
      <b/>
      <i/>
      <sz val="11"/>
      <color theme="1"/>
      <name val="Aptos Narrow"/>
      <family val="2"/>
    </font>
    <font>
      <u/>
      <sz val="11"/>
      <color theme="1"/>
      <name val="Aptos Narrow"/>
      <family val="2"/>
    </font>
    <font>
      <sz val="11"/>
      <color theme="0" tint="-0.249977111117893"/>
      <name val="Aptos Narrow"/>
      <family val="2"/>
    </font>
    <font>
      <b/>
      <sz val="12"/>
      <color theme="1"/>
      <name val="Aptos Narrow"/>
      <family val="2"/>
    </font>
    <font>
      <i/>
      <sz val="14"/>
      <color theme="1"/>
      <name val="Aptos Narrow"/>
      <family val="2"/>
    </font>
    <font>
      <sz val="10"/>
      <color theme="1"/>
      <name val="Aptos Narrow"/>
      <family val="2"/>
    </font>
    <font>
      <sz val="11"/>
      <color theme="0"/>
      <name val="Aptos Narrow"/>
      <family val="2"/>
    </font>
    <font>
      <sz val="10"/>
      <color rgb="FF000000"/>
      <name val="Aptos Narrow"/>
      <family val="2"/>
    </font>
    <font>
      <i/>
      <sz val="10"/>
      <color theme="1"/>
      <name val="Aptos Narrow"/>
      <family val="2"/>
    </font>
    <font>
      <i/>
      <sz val="11"/>
      <color theme="1"/>
      <name val="Aptos Narrow"/>
      <family val="2"/>
    </font>
    <font>
      <b/>
      <sz val="11"/>
      <color theme="8" tint="-0.249977111117893"/>
      <name val="Aptos Narrow"/>
      <family val="2"/>
    </font>
    <font>
      <b/>
      <sz val="11"/>
      <color theme="5"/>
      <name val="Aptos Narrow"/>
      <family val="2"/>
    </font>
    <font>
      <b/>
      <sz val="11"/>
      <color rgb="FFFF0000"/>
      <name val="Aptos Narrow"/>
      <family val="2"/>
    </font>
    <font>
      <sz val="9"/>
      <color theme="1"/>
      <name val="Aptos Narrow"/>
      <family val="2"/>
    </font>
    <font>
      <b/>
      <sz val="11"/>
      <color theme="1" tint="0.499984740745262"/>
      <name val="Aptos Narrow"/>
      <family val="2"/>
    </font>
    <font>
      <sz val="11"/>
      <color theme="1" tint="0.499984740745262"/>
      <name val="Aptos Narrow"/>
      <family val="2"/>
    </font>
    <font>
      <sz val="16"/>
      <color theme="1" tint="0.499984740745262"/>
      <name val="Aptos Narrow"/>
      <family val="2"/>
    </font>
    <font>
      <b/>
      <i/>
      <strike/>
      <sz val="11"/>
      <color theme="1"/>
      <name val="Aptos Narrow"/>
      <family val="2"/>
    </font>
    <font>
      <sz val="11"/>
      <color rgb="FFFF0000"/>
      <name val="Aptos Narrow"/>
      <family val="2"/>
    </font>
    <font>
      <sz val="11"/>
      <color rgb="FF242424"/>
      <name val="Aptos Narrow"/>
      <charset val="1"/>
    </font>
    <font>
      <sz val="11"/>
      <color theme="1"/>
      <name val="Aptos Narrow"/>
    </font>
    <font>
      <b/>
      <i/>
      <sz val="11"/>
      <color rgb="FF000000"/>
      <name val="Aptos Narrow"/>
      <family val="2"/>
    </font>
  </fonts>
  <fills count="24">
    <fill>
      <patternFill patternType="none"/>
    </fill>
    <fill>
      <patternFill patternType="gray125"/>
    </fill>
    <fill>
      <patternFill patternType="solid">
        <fgColor rgb="FFD6DCE4"/>
        <bgColor indexed="64"/>
      </patternFill>
    </fill>
    <fill>
      <patternFill patternType="solid">
        <fgColor rgb="FFB4C6E7"/>
        <bgColor indexed="64"/>
      </patternFill>
    </fill>
    <fill>
      <patternFill patternType="solid">
        <fgColor rgb="FFD9E1F2"/>
        <bgColor indexed="64"/>
      </patternFill>
    </fill>
    <fill>
      <patternFill patternType="solid">
        <fgColor rgb="FFC6E0B4"/>
        <bgColor indexed="64"/>
      </patternFill>
    </fill>
    <fill>
      <patternFill patternType="solid">
        <fgColor rgb="FFFFE699"/>
        <bgColor indexed="64"/>
      </patternFill>
    </fill>
    <fill>
      <patternFill patternType="solid">
        <fgColor rgb="FFFFF2CC"/>
        <bgColor indexed="64"/>
      </patternFill>
    </fill>
    <fill>
      <patternFill patternType="solid">
        <fgColor rgb="FFE2EFDA"/>
        <bgColor indexed="64"/>
      </patternFill>
    </fill>
    <fill>
      <patternFill patternType="solid">
        <fgColor rgb="FFFFA6A6"/>
        <bgColor indexed="64"/>
      </patternFill>
    </fill>
    <fill>
      <patternFill patternType="solid">
        <fgColor rgb="FFF2F2F2"/>
        <bgColor indexed="64"/>
      </patternFill>
    </fill>
    <fill>
      <patternFill patternType="solid">
        <fgColor rgb="FFFFDBDB"/>
        <bgColor indexed="64"/>
      </patternFill>
    </fill>
    <fill>
      <patternFill patternType="solid">
        <fgColor rgb="FFA9D08E"/>
        <bgColor indexed="64"/>
      </patternFill>
    </fill>
    <fill>
      <patternFill patternType="solid">
        <fgColor rgb="FFF4B084"/>
        <bgColor indexed="64"/>
      </patternFill>
    </fill>
    <fill>
      <patternFill patternType="solid">
        <fgColor rgb="FFFFD966"/>
        <bgColor indexed="64"/>
      </patternFill>
    </fill>
    <fill>
      <patternFill patternType="solid">
        <fgColor rgb="FF9BC2E6"/>
        <bgColor indexed="64"/>
      </patternFill>
    </fill>
    <fill>
      <patternFill patternType="solid">
        <fgColor rgb="FF8EA9DB"/>
        <bgColor indexed="64"/>
      </patternFill>
    </fill>
    <fill>
      <patternFill patternType="solid">
        <fgColor rgb="FFBDD7EE"/>
        <bgColor indexed="64"/>
      </patternFill>
    </fill>
    <fill>
      <patternFill patternType="solid">
        <fgColor rgb="FFDDEBF7"/>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9" tint="0.79998168889431442"/>
        <bgColor indexed="64"/>
      </patternFill>
    </fill>
  </fills>
  <borders count="44">
    <border>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style="thin">
        <color indexed="64"/>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s>
  <cellStyleXfs count="1">
    <xf numFmtId="0" fontId="0" fillId="0" borderId="0"/>
  </cellStyleXfs>
  <cellXfs count="348">
    <xf numFmtId="0" fontId="0" fillId="0" borderId="0" xfId="0"/>
    <xf numFmtId="0" fontId="1" fillId="0" borderId="0" xfId="0" applyFont="1"/>
    <xf numFmtId="0" fontId="1" fillId="0" borderId="0" xfId="0" applyFont="1" applyAlignment="1">
      <alignment vertical="center"/>
    </xf>
    <xf numFmtId="0" fontId="1" fillId="0" borderId="8" xfId="0" applyFont="1" applyBorder="1" applyAlignment="1">
      <alignment vertical="center"/>
    </xf>
    <xf numFmtId="0" fontId="1" fillId="0" borderId="3" xfId="0" applyFont="1" applyBorder="1" applyAlignment="1">
      <alignment vertical="center"/>
    </xf>
    <xf numFmtId="0" fontId="1" fillId="0" borderId="2" xfId="0" applyFont="1" applyBorder="1" applyAlignment="1">
      <alignment vertical="center"/>
    </xf>
    <xf numFmtId="0" fontId="1" fillId="10" borderId="0" xfId="0" applyFont="1" applyFill="1"/>
    <xf numFmtId="0" fontId="5" fillId="10" borderId="0" xfId="0" applyFont="1" applyFill="1"/>
    <xf numFmtId="0" fontId="4" fillId="13" borderId="1" xfId="0" applyFont="1" applyFill="1" applyBorder="1" applyAlignment="1">
      <alignment horizontal="center" vertical="center"/>
    </xf>
    <xf numFmtId="0" fontId="1" fillId="14" borderId="14" xfId="0" applyFont="1" applyFill="1" applyBorder="1" applyAlignment="1">
      <alignment horizontal="center" vertical="center"/>
    </xf>
    <xf numFmtId="0" fontId="1" fillId="12" borderId="14" xfId="0" applyFont="1" applyFill="1" applyBorder="1" applyAlignment="1">
      <alignment horizontal="center" vertical="center"/>
    </xf>
    <xf numFmtId="0" fontId="1" fillId="15" borderId="14" xfId="0" applyFont="1" applyFill="1" applyBorder="1" applyAlignment="1">
      <alignment horizontal="center" vertical="center"/>
    </xf>
    <xf numFmtId="0" fontId="1" fillId="16" borderId="8" xfId="0" applyFont="1" applyFill="1" applyBorder="1" applyAlignment="1">
      <alignment horizontal="center" vertical="center"/>
    </xf>
    <xf numFmtId="0" fontId="8" fillId="0" borderId="0" xfId="0" applyFont="1"/>
    <xf numFmtId="0" fontId="8" fillId="0" borderId="0" xfId="0" applyFont="1" applyAlignment="1">
      <alignment wrapText="1"/>
    </xf>
    <xf numFmtId="0" fontId="10" fillId="0" borderId="0" xfId="0" applyFont="1"/>
    <xf numFmtId="0" fontId="4"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4" xfId="0" applyFont="1" applyBorder="1" applyAlignment="1">
      <alignment horizontal="left" vertical="center" wrapText="1"/>
    </xf>
    <xf numFmtId="0" fontId="2" fillId="0" borderId="8" xfId="0" applyFont="1" applyBorder="1" applyAlignment="1">
      <alignment horizontal="left" vertical="center" wrapText="1"/>
    </xf>
    <xf numFmtId="0" fontId="11" fillId="0" borderId="0" xfId="0" applyFont="1" applyAlignment="1">
      <alignment wrapText="1"/>
    </xf>
    <xf numFmtId="0" fontId="8" fillId="0" borderId="4" xfId="0" applyFont="1" applyBorder="1"/>
    <xf numFmtId="0" fontId="9" fillId="0" borderId="4" xfId="0" applyFont="1" applyBorder="1"/>
    <xf numFmtId="0" fontId="11" fillId="0" borderId="4" xfId="0" applyFont="1" applyBorder="1"/>
    <xf numFmtId="0" fontId="7" fillId="10" borderId="0" xfId="0" applyFont="1" applyFill="1"/>
    <xf numFmtId="0" fontId="4" fillId="10" borderId="0" xfId="0" applyFont="1" applyFill="1" applyAlignment="1">
      <alignment wrapText="1"/>
    </xf>
    <xf numFmtId="0" fontId="4" fillId="10" borderId="4" xfId="0" applyFont="1" applyFill="1" applyBorder="1"/>
    <xf numFmtId="0" fontId="4" fillId="0" borderId="0" xfId="0" applyFont="1" applyAlignment="1">
      <alignment wrapText="1"/>
    </xf>
    <xf numFmtId="0" fontId="4" fillId="0" borderId="4" xfId="0" applyFont="1" applyBorder="1"/>
    <xf numFmtId="0" fontId="4" fillId="0" borderId="0" xfId="0" applyFont="1"/>
    <xf numFmtId="0" fontId="4" fillId="4" borderId="0" xfId="0" applyFont="1" applyFill="1"/>
    <xf numFmtId="0" fontId="4" fillId="7" borderId="0" xfId="0" applyFont="1" applyFill="1" applyAlignment="1">
      <alignment wrapText="1"/>
    </xf>
    <xf numFmtId="0" fontId="4" fillId="18" borderId="0" xfId="0" applyFont="1" applyFill="1" applyAlignment="1">
      <alignment wrapText="1"/>
    </xf>
    <xf numFmtId="0" fontId="4" fillId="8" borderId="0" xfId="0" applyFont="1" applyFill="1"/>
    <xf numFmtId="0" fontId="4" fillId="8" borderId="0" xfId="0" applyFont="1" applyFill="1" applyAlignment="1">
      <alignment wrapText="1"/>
    </xf>
    <xf numFmtId="0" fontId="4" fillId="18" borderId="0" xfId="0" applyFont="1" applyFill="1"/>
    <xf numFmtId="0" fontId="12" fillId="0" borderId="1" xfId="0" applyFont="1" applyBorder="1" applyAlignment="1">
      <alignment horizontal="left" vertical="center" wrapText="1"/>
    </xf>
    <xf numFmtId="0" fontId="14" fillId="0" borderId="0" xfId="0" applyFont="1"/>
    <xf numFmtId="0" fontId="1" fillId="0" borderId="0" xfId="0" applyFont="1" applyAlignment="1">
      <alignment horizontal="right" vertical="center"/>
    </xf>
    <xf numFmtId="164" fontId="1" fillId="20" borderId="0" xfId="0" applyNumberFormat="1" applyFont="1" applyFill="1" applyAlignment="1">
      <alignment horizontal="left" vertical="center"/>
    </xf>
    <xf numFmtId="0" fontId="1" fillId="20" borderId="0" xfId="0" applyFont="1" applyFill="1" applyAlignment="1">
      <alignment vertical="center"/>
    </xf>
    <xf numFmtId="0" fontId="1" fillId="20" borderId="0" xfId="0" applyFont="1" applyFill="1" applyAlignment="1">
      <alignment horizontal="left" vertical="center"/>
    </xf>
    <xf numFmtId="0" fontId="1" fillId="0" borderId="0" xfId="0" applyFont="1" applyAlignment="1">
      <alignment horizontal="right" vertical="center" wrapText="1"/>
    </xf>
    <xf numFmtId="0" fontId="1" fillId="0" borderId="0" xfId="0" applyFont="1" applyAlignment="1">
      <alignment horizontal="left" vertical="center"/>
    </xf>
    <xf numFmtId="164" fontId="1" fillId="0" borderId="0" xfId="0" applyNumberFormat="1" applyFont="1" applyAlignment="1">
      <alignment vertical="center"/>
    </xf>
    <xf numFmtId="0" fontId="17" fillId="6" borderId="0" xfId="0" applyFont="1" applyFill="1" applyAlignment="1">
      <alignment vertical="center"/>
    </xf>
    <xf numFmtId="0" fontId="18" fillId="6" borderId="0" xfId="0" applyFont="1" applyFill="1" applyAlignment="1">
      <alignment vertical="center"/>
    </xf>
    <xf numFmtId="0" fontId="17" fillId="6" borderId="0" xfId="0" applyFont="1" applyFill="1" applyAlignment="1">
      <alignment horizontal="center" vertical="center"/>
    </xf>
    <xf numFmtId="0" fontId="17" fillId="6" borderId="0" xfId="0" applyFont="1" applyFill="1" applyAlignment="1">
      <alignment horizontal="right" vertical="center"/>
    </xf>
    <xf numFmtId="0" fontId="17" fillId="0" borderId="0" xfId="0" applyFont="1" applyAlignment="1">
      <alignment vertical="center"/>
    </xf>
    <xf numFmtId="0" fontId="17" fillId="0" borderId="4" xfId="0" applyFont="1" applyBorder="1" applyAlignment="1">
      <alignment vertical="center"/>
    </xf>
    <xf numFmtId="2" fontId="17" fillId="0" borderId="0" xfId="0" applyNumberFormat="1" applyFont="1" applyAlignment="1">
      <alignment vertical="center"/>
    </xf>
    <xf numFmtId="0" fontId="19" fillId="6" borderId="0" xfId="0" applyFont="1" applyFill="1"/>
    <xf numFmtId="0" fontId="19" fillId="0" borderId="0" xfId="0" applyFont="1"/>
    <xf numFmtId="0" fontId="19" fillId="0" borderId="0" xfId="0" applyFont="1" applyAlignment="1">
      <alignment vertical="top"/>
    </xf>
    <xf numFmtId="0" fontId="19" fillId="0" borderId="0" xfId="0" applyFont="1" applyAlignment="1">
      <alignment horizontal="center"/>
    </xf>
    <xf numFmtId="0" fontId="20" fillId="0" borderId="4" xfId="0" quotePrefix="1" applyFont="1" applyBorder="1"/>
    <xf numFmtId="0" fontId="21" fillId="0" borderId="0" xfId="0" quotePrefix="1" applyFont="1" applyAlignment="1">
      <alignment vertical="center"/>
    </xf>
    <xf numFmtId="0" fontId="23" fillId="0" borderId="8" xfId="0" applyFont="1" applyBorder="1"/>
    <xf numFmtId="0" fontId="19" fillId="0" borderId="8" xfId="0" applyFont="1" applyBorder="1" applyAlignment="1">
      <alignment horizontal="center"/>
    </xf>
    <xf numFmtId="164" fontId="24" fillId="0" borderId="8" xfId="0" applyNumberFormat="1" applyFont="1" applyBorder="1" applyAlignment="1">
      <alignment horizontal="right"/>
    </xf>
    <xf numFmtId="0" fontId="19" fillId="0" borderId="8" xfId="0" applyFont="1" applyBorder="1"/>
    <xf numFmtId="164" fontId="24" fillId="0" borderId="3" xfId="0" applyNumberFormat="1" applyFont="1" applyBorder="1" applyAlignment="1">
      <alignment horizontal="right"/>
    </xf>
    <xf numFmtId="0" fontId="19" fillId="0" borderId="4" xfId="0" applyFont="1" applyBorder="1"/>
    <xf numFmtId="2" fontId="19" fillId="0" borderId="0" xfId="0" applyNumberFormat="1" applyFont="1" applyAlignment="1">
      <alignment vertical="center"/>
    </xf>
    <xf numFmtId="2" fontId="25" fillId="0" borderId="0" xfId="0" applyNumberFormat="1" applyFont="1" applyAlignment="1">
      <alignment vertical="center"/>
    </xf>
    <xf numFmtId="0" fontId="19" fillId="0" borderId="0" xfId="0" applyFont="1" applyAlignment="1">
      <alignment wrapText="1"/>
    </xf>
    <xf numFmtId="0" fontId="19" fillId="6" borderId="0" xfId="0" applyFont="1" applyFill="1" applyAlignment="1">
      <alignment vertical="center"/>
    </xf>
    <xf numFmtId="0" fontId="19" fillId="0" borderId="0" xfId="0" applyFont="1" applyAlignment="1">
      <alignment vertical="center"/>
    </xf>
    <xf numFmtId="0" fontId="25" fillId="7" borderId="0" xfId="0" applyFont="1" applyFill="1" applyAlignment="1">
      <alignment vertical="center"/>
    </xf>
    <xf numFmtId="0" fontId="19" fillId="7" borderId="0" xfId="0" applyFont="1" applyFill="1" applyAlignment="1">
      <alignment vertical="center"/>
    </xf>
    <xf numFmtId="0" fontId="19" fillId="0" borderId="4" xfId="0" applyFont="1" applyBorder="1" applyAlignment="1">
      <alignment vertical="center"/>
    </xf>
    <xf numFmtId="2" fontId="26" fillId="0" borderId="0" xfId="0" quotePrefix="1" applyNumberFormat="1" applyFont="1" applyAlignment="1">
      <alignment vertical="center"/>
    </xf>
    <xf numFmtId="0" fontId="27" fillId="10" borderId="0" xfId="0" applyFont="1" applyFill="1" applyAlignment="1">
      <alignment vertical="center"/>
    </xf>
    <xf numFmtId="0" fontId="19" fillId="10" borderId="23" xfId="0" applyFont="1" applyFill="1" applyBorder="1" applyAlignment="1">
      <alignment vertical="center"/>
    </xf>
    <xf numFmtId="0" fontId="28" fillId="10" borderId="23" xfId="0" applyFont="1" applyFill="1" applyBorder="1" applyAlignment="1">
      <alignment vertical="center"/>
    </xf>
    <xf numFmtId="0" fontId="19" fillId="0" borderId="3" xfId="0" applyFont="1" applyBorder="1" applyAlignment="1">
      <alignment vertical="center"/>
    </xf>
    <xf numFmtId="0" fontId="19" fillId="0" borderId="0" xfId="0" applyFont="1" applyAlignment="1">
      <alignment horizontal="center" wrapText="1"/>
    </xf>
    <xf numFmtId="0" fontId="25" fillId="7" borderId="17" xfId="0" applyFont="1" applyFill="1" applyBorder="1" applyAlignment="1">
      <alignment horizontal="left" vertical="center"/>
    </xf>
    <xf numFmtId="0" fontId="25" fillId="7" borderId="17" xfId="0" applyFont="1" applyFill="1" applyBorder="1" applyAlignment="1">
      <alignment horizontal="center" vertical="center"/>
    </xf>
    <xf numFmtId="0" fontId="19" fillId="7" borderId="17" xfId="0" applyFont="1" applyFill="1" applyBorder="1" applyAlignment="1">
      <alignment horizontal="center" vertical="center"/>
    </xf>
    <xf numFmtId="0" fontId="25" fillId="7" borderId="25" xfId="0" applyFont="1" applyFill="1" applyBorder="1" applyAlignment="1" applyProtection="1">
      <alignment horizontal="center" vertical="center"/>
      <protection locked="0"/>
    </xf>
    <xf numFmtId="1" fontId="25" fillId="7" borderId="17" xfId="0" applyNumberFormat="1" applyFont="1" applyFill="1" applyBorder="1" applyAlignment="1">
      <alignment horizontal="center" vertical="center"/>
    </xf>
    <xf numFmtId="0" fontId="19" fillId="7" borderId="17" xfId="0" applyFont="1" applyFill="1" applyBorder="1" applyAlignment="1" applyProtection="1">
      <alignment horizontal="left" vertical="center" wrapText="1"/>
      <protection locked="0"/>
    </xf>
    <xf numFmtId="1" fontId="19" fillId="0" borderId="0" xfId="0" applyNumberFormat="1" applyFont="1" applyAlignment="1">
      <alignment vertical="center"/>
    </xf>
    <xf numFmtId="0" fontId="29" fillId="0" borderId="4" xfId="0" applyFont="1" applyBorder="1" applyAlignment="1">
      <alignment vertical="center"/>
    </xf>
    <xf numFmtId="0" fontId="27" fillId="10" borderId="1" xfId="0" applyFont="1" applyFill="1" applyBorder="1" applyAlignment="1">
      <alignment vertical="center"/>
    </xf>
    <xf numFmtId="0" fontId="19" fillId="10" borderId="1" xfId="0" applyFont="1" applyFill="1" applyBorder="1" applyAlignment="1">
      <alignment vertical="center"/>
    </xf>
    <xf numFmtId="0" fontId="19" fillId="10" borderId="1" xfId="0" applyFont="1" applyFill="1" applyBorder="1" applyAlignment="1">
      <alignment horizontal="center" vertical="center"/>
    </xf>
    <xf numFmtId="0" fontId="25" fillId="10" borderId="26" xfId="0" applyFont="1" applyFill="1" applyBorder="1" applyAlignment="1" applyProtection="1">
      <alignment horizontal="center" vertical="center"/>
      <protection locked="0"/>
    </xf>
    <xf numFmtId="1" fontId="25" fillId="10" borderId="1" xfId="0" applyNumberFormat="1" applyFont="1" applyFill="1" applyBorder="1" applyAlignment="1">
      <alignment horizontal="center" vertical="center"/>
    </xf>
    <xf numFmtId="0" fontId="19" fillId="10" borderId="1" xfId="0" applyFont="1" applyFill="1" applyBorder="1" applyAlignment="1" applyProtection="1">
      <alignment vertical="center"/>
      <protection locked="0"/>
    </xf>
    <xf numFmtId="0" fontId="19" fillId="0" borderId="5" xfId="0" applyFont="1" applyBorder="1" applyAlignment="1">
      <alignment vertical="center"/>
    </xf>
    <xf numFmtId="0" fontId="19" fillId="19" borderId="0" xfId="0" applyFont="1" applyFill="1" applyAlignment="1">
      <alignment vertical="center"/>
    </xf>
    <xf numFmtId="0" fontId="19" fillId="19" borderId="0" xfId="0" applyFont="1" applyFill="1" applyAlignment="1">
      <alignment horizontal="center" vertical="center"/>
    </xf>
    <xf numFmtId="0" fontId="25" fillId="0" borderId="24" xfId="0" applyFont="1" applyBorder="1" applyAlignment="1" applyProtection="1">
      <alignment horizontal="center" vertical="center"/>
      <protection locked="0"/>
    </xf>
    <xf numFmtId="1" fontId="25" fillId="19" borderId="0" xfId="0" applyNumberFormat="1" applyFont="1" applyFill="1" applyAlignment="1">
      <alignment horizontal="center" vertical="center"/>
    </xf>
    <xf numFmtId="0" fontId="19" fillId="0" borderId="0" xfId="0" applyFont="1" applyAlignment="1" applyProtection="1">
      <alignment vertical="center"/>
      <protection locked="0"/>
    </xf>
    <xf numFmtId="0" fontId="19" fillId="0" borderId="0" xfId="0" applyFont="1" applyAlignment="1" applyProtection="1">
      <alignment vertical="center" wrapText="1"/>
      <protection locked="0"/>
    </xf>
    <xf numFmtId="0" fontId="21" fillId="0" borderId="0" xfId="0" applyFont="1" applyAlignment="1" applyProtection="1">
      <alignment vertical="center"/>
      <protection locked="0"/>
    </xf>
    <xf numFmtId="0" fontId="25" fillId="0" borderId="0" xfId="0" applyFont="1"/>
    <xf numFmtId="1" fontId="25" fillId="0" borderId="0" xfId="0" applyNumberFormat="1" applyFont="1"/>
    <xf numFmtId="0" fontId="29" fillId="0" borderId="4" xfId="0" applyFont="1" applyBorder="1"/>
    <xf numFmtId="2" fontId="19" fillId="0" borderId="0" xfId="0" applyNumberFormat="1" applyFont="1"/>
    <xf numFmtId="0" fontId="17" fillId="2" borderId="0" xfId="0" applyFont="1" applyFill="1" applyAlignment="1">
      <alignment vertical="center"/>
    </xf>
    <xf numFmtId="0" fontId="18" fillId="2" borderId="0" xfId="0" applyFont="1" applyFill="1" applyAlignment="1">
      <alignment vertical="center"/>
    </xf>
    <xf numFmtId="0" fontId="17" fillId="2" borderId="0" xfId="0" applyFont="1" applyFill="1" applyAlignment="1">
      <alignment horizontal="right" vertical="center"/>
    </xf>
    <xf numFmtId="0" fontId="17" fillId="0" borderId="0" xfId="0" applyFont="1" applyAlignment="1" applyProtection="1">
      <alignment vertical="center"/>
      <protection hidden="1"/>
    </xf>
    <xf numFmtId="0" fontId="19" fillId="2" borderId="0" xfId="0" applyFont="1" applyFill="1"/>
    <xf numFmtId="0" fontId="19" fillId="0" borderId="2" xfId="0" applyFont="1" applyBorder="1"/>
    <xf numFmtId="0" fontId="19" fillId="0" borderId="0" xfId="0" applyFont="1" applyProtection="1">
      <protection hidden="1"/>
    </xf>
    <xf numFmtId="0" fontId="19" fillId="0" borderId="6" xfId="0" applyFont="1" applyBorder="1"/>
    <xf numFmtId="14" fontId="19" fillId="0" borderId="0" xfId="0" applyNumberFormat="1" applyFont="1"/>
    <xf numFmtId="0" fontId="19" fillId="0" borderId="40" xfId="0" applyFont="1" applyBorder="1"/>
    <xf numFmtId="0" fontId="19" fillId="0" borderId="31" xfId="0" applyFont="1" applyBorder="1"/>
    <xf numFmtId="0" fontId="19" fillId="0" borderId="41" xfId="0" applyFont="1" applyBorder="1"/>
    <xf numFmtId="0" fontId="19" fillId="0" borderId="3" xfId="0" applyFont="1" applyBorder="1"/>
    <xf numFmtId="0" fontId="25" fillId="0" borderId="13" xfId="0" applyFont="1" applyBorder="1"/>
    <xf numFmtId="0" fontId="19" fillId="0" borderId="14" xfId="0" applyFont="1" applyBorder="1"/>
    <xf numFmtId="0" fontId="19" fillId="0" borderId="15" xfId="0" applyFont="1" applyBorder="1"/>
    <xf numFmtId="0" fontId="25" fillId="0" borderId="0" xfId="0" applyFont="1" applyProtection="1">
      <protection hidden="1"/>
    </xf>
    <xf numFmtId="0" fontId="30" fillId="0" borderId="0" xfId="0" applyFont="1" applyProtection="1">
      <protection hidden="1"/>
    </xf>
    <xf numFmtId="0" fontId="31" fillId="3" borderId="0" xfId="0" applyFont="1" applyFill="1" applyProtection="1">
      <protection hidden="1"/>
    </xf>
    <xf numFmtId="0" fontId="19" fillId="3" borderId="0" xfId="0" applyFont="1" applyFill="1" applyProtection="1">
      <protection hidden="1"/>
    </xf>
    <xf numFmtId="0" fontId="19" fillId="0" borderId="0" xfId="0" applyFont="1" applyAlignment="1" applyProtection="1">
      <alignment horizontal="left"/>
      <protection hidden="1"/>
    </xf>
    <xf numFmtId="0" fontId="32" fillId="0" borderId="0" xfId="0" applyFont="1" applyProtection="1">
      <protection hidden="1"/>
    </xf>
    <xf numFmtId="0" fontId="33" fillId="0" borderId="0" xfId="0" applyFont="1" applyProtection="1">
      <protection hidden="1"/>
    </xf>
    <xf numFmtId="0" fontId="25" fillId="0" borderId="9" xfId="0" applyFont="1" applyBorder="1" applyAlignment="1" applyProtection="1">
      <alignment horizontal="center" vertical="center"/>
      <protection hidden="1"/>
    </xf>
    <xf numFmtId="0" fontId="19" fillId="0" borderId="0" xfId="0" applyFont="1" applyAlignment="1" applyProtection="1">
      <alignment vertical="center"/>
      <protection hidden="1"/>
    </xf>
    <xf numFmtId="0" fontId="25" fillId="0" borderId="0" xfId="0" applyFont="1" applyAlignment="1" applyProtection="1">
      <alignment horizontal="center" vertical="center"/>
      <protection hidden="1"/>
    </xf>
    <xf numFmtId="0" fontId="31" fillId="6" borderId="0" xfId="0" applyFont="1" applyFill="1" applyAlignment="1" applyProtection="1">
      <alignment vertical="center"/>
      <protection hidden="1"/>
    </xf>
    <xf numFmtId="0" fontId="19" fillId="0" borderId="0" xfId="0" applyFont="1" applyAlignment="1" applyProtection="1">
      <alignment horizontal="right" vertical="center"/>
      <protection hidden="1"/>
    </xf>
    <xf numFmtId="0" fontId="34" fillId="0" borderId="0" xfId="0" applyFont="1" applyAlignment="1" applyProtection="1">
      <alignment horizontal="left" vertical="center" wrapText="1"/>
      <protection hidden="1"/>
    </xf>
    <xf numFmtId="0" fontId="31" fillId="17" borderId="0" xfId="0" applyFont="1" applyFill="1" applyAlignment="1" applyProtection="1">
      <alignment vertical="center"/>
      <protection hidden="1"/>
    </xf>
    <xf numFmtId="0" fontId="25" fillId="17" borderId="9" xfId="0" applyFont="1" applyFill="1" applyBorder="1" applyAlignment="1" applyProtection="1">
      <alignment horizontal="center" vertical="center"/>
      <protection hidden="1"/>
    </xf>
    <xf numFmtId="0" fontId="31" fillId="5" borderId="0" xfId="0" applyFont="1" applyFill="1" applyAlignment="1" applyProtection="1">
      <alignment vertical="center"/>
      <protection hidden="1"/>
    </xf>
    <xf numFmtId="0" fontId="32" fillId="9" borderId="0" xfId="0" applyFont="1" applyFill="1" applyProtection="1">
      <protection hidden="1"/>
    </xf>
    <xf numFmtId="0" fontId="25" fillId="0" borderId="0" xfId="0" applyFont="1" applyAlignment="1" applyProtection="1">
      <alignment vertical="center"/>
      <protection hidden="1"/>
    </xf>
    <xf numFmtId="0" fontId="31" fillId="12" borderId="0" xfId="0" applyFont="1" applyFill="1" applyAlignment="1" applyProtection="1">
      <alignment vertical="center"/>
      <protection hidden="1"/>
    </xf>
    <xf numFmtId="0" fontId="19" fillId="12" borderId="0" xfId="0" applyFont="1" applyFill="1" applyAlignment="1" applyProtection="1">
      <alignment vertical="center"/>
      <protection hidden="1"/>
    </xf>
    <xf numFmtId="0" fontId="25" fillId="0" borderId="9" xfId="0" applyFont="1" applyBorder="1" applyAlignment="1" applyProtection="1">
      <alignment horizontal="center" vertical="center"/>
      <protection locked="0" hidden="1"/>
    </xf>
    <xf numFmtId="0" fontId="19" fillId="12" borderId="0" xfId="0" applyFont="1" applyFill="1" applyProtection="1">
      <protection hidden="1"/>
    </xf>
    <xf numFmtId="0" fontId="19" fillId="0" borderId="0" xfId="0" applyFont="1" applyAlignment="1">
      <alignment horizontal="left" vertical="top" wrapText="1"/>
    </xf>
    <xf numFmtId="0" fontId="25" fillId="0" borderId="0" xfId="0" applyFont="1" applyAlignment="1">
      <alignment vertical="center"/>
    </xf>
    <xf numFmtId="0" fontId="25" fillId="8" borderId="0" xfId="0" applyFont="1" applyFill="1" applyAlignment="1" applyProtection="1">
      <alignment vertical="center"/>
      <protection locked="0"/>
    </xf>
    <xf numFmtId="0" fontId="19" fillId="0" borderId="0" xfId="0" applyFont="1" applyAlignment="1">
      <alignment horizontal="left" vertical="top"/>
    </xf>
    <xf numFmtId="0" fontId="17" fillId="3" borderId="0" xfId="0" applyFont="1" applyFill="1" applyAlignment="1">
      <alignment vertical="center"/>
    </xf>
    <xf numFmtId="0" fontId="18" fillId="3" borderId="0" xfId="0" applyFont="1" applyFill="1" applyAlignment="1">
      <alignment vertical="center"/>
    </xf>
    <xf numFmtId="0" fontId="17" fillId="3" borderId="0" xfId="0" applyFont="1" applyFill="1" applyAlignment="1">
      <alignment horizontal="right" vertical="center"/>
    </xf>
    <xf numFmtId="0" fontId="17" fillId="21" borderId="0" xfId="0" applyFont="1" applyFill="1" applyAlignment="1">
      <alignment vertical="center"/>
    </xf>
    <xf numFmtId="0" fontId="19" fillId="3" borderId="0" xfId="0" applyFont="1" applyFill="1"/>
    <xf numFmtId="0" fontId="19" fillId="0" borderId="8" xfId="0" applyFont="1" applyBorder="1" applyAlignment="1">
      <alignment vertical="top"/>
    </xf>
    <xf numFmtId="164" fontId="19" fillId="0" borderId="8" xfId="0" applyNumberFormat="1" applyFont="1" applyBorder="1"/>
    <xf numFmtId="0" fontId="19" fillId="3" borderId="0" xfId="0" applyFont="1" applyFill="1" applyAlignment="1">
      <alignment vertical="center"/>
    </xf>
    <xf numFmtId="0" fontId="30" fillId="0" borderId="2" xfId="0" applyFont="1" applyBorder="1" applyAlignment="1">
      <alignment horizontal="left" vertical="top" wrapText="1"/>
    </xf>
    <xf numFmtId="0" fontId="19" fillId="0" borderId="8" xfId="0" applyFont="1" applyBorder="1" applyAlignment="1">
      <alignment vertical="center"/>
    </xf>
    <xf numFmtId="0" fontId="32" fillId="0" borderId="4" xfId="0" applyFont="1" applyBorder="1" applyAlignment="1">
      <alignment horizontal="left" vertical="top" wrapText="1"/>
    </xf>
    <xf numFmtId="0" fontId="32" fillId="0" borderId="0" xfId="0" applyFont="1" applyAlignment="1">
      <alignment vertical="center"/>
    </xf>
    <xf numFmtId="0" fontId="35" fillId="0" borderId="4" xfId="0" applyFont="1" applyBorder="1" applyAlignment="1">
      <alignment horizontal="left" vertical="top" wrapText="1"/>
    </xf>
    <xf numFmtId="0" fontId="36" fillId="0" borderId="0" xfId="0" applyFont="1"/>
    <xf numFmtId="0" fontId="35" fillId="0" borderId="6" xfId="0" applyFont="1" applyBorder="1" applyAlignment="1">
      <alignment horizontal="left" vertical="top" wrapText="1"/>
    </xf>
    <xf numFmtId="0" fontId="19" fillId="0" borderId="1" xfId="0" applyFont="1" applyBorder="1" applyAlignment="1">
      <alignment vertical="center"/>
    </xf>
    <xf numFmtId="0" fontId="32" fillId="0" borderId="1" xfId="0" applyFont="1" applyBorder="1" applyAlignment="1">
      <alignment vertical="center"/>
    </xf>
    <xf numFmtId="0" fontId="23" fillId="0" borderId="0" xfId="0" applyFont="1" applyAlignment="1">
      <alignment vertical="center"/>
    </xf>
    <xf numFmtId="0" fontId="32" fillId="0" borderId="6" xfId="0" applyFont="1" applyBorder="1" applyAlignment="1">
      <alignment horizontal="left" vertical="top" wrapText="1"/>
    </xf>
    <xf numFmtId="0" fontId="31" fillId="0" borderId="0" xfId="0" applyFont="1" applyAlignment="1">
      <alignment horizontal="left" vertical="top" wrapText="1"/>
    </xf>
    <xf numFmtId="0" fontId="31" fillId="0" borderId="0" xfId="0" applyFont="1" applyAlignment="1">
      <alignment vertical="center"/>
    </xf>
    <xf numFmtId="0" fontId="17" fillId="17" borderId="0" xfId="0" applyFont="1" applyFill="1" applyAlignment="1">
      <alignment vertical="center"/>
    </xf>
    <xf numFmtId="0" fontId="18" fillId="17" borderId="0" xfId="0" applyFont="1" applyFill="1" applyAlignment="1">
      <alignment vertical="center"/>
    </xf>
    <xf numFmtId="0" fontId="17" fillId="17" borderId="0" xfId="0" applyFont="1" applyFill="1" applyAlignment="1">
      <alignment horizontal="center" vertical="center"/>
    </xf>
    <xf numFmtId="0" fontId="17" fillId="17" borderId="0" xfId="0" applyFont="1" applyFill="1" applyAlignment="1">
      <alignment horizontal="right" vertical="center"/>
    </xf>
    <xf numFmtId="0" fontId="19" fillId="17" borderId="0" xfId="0" applyFont="1" applyFill="1"/>
    <xf numFmtId="0" fontId="19" fillId="17" borderId="0" xfId="0" applyFont="1" applyFill="1" applyAlignment="1">
      <alignment vertical="center"/>
    </xf>
    <xf numFmtId="0" fontId="25" fillId="18" borderId="0" xfId="0" applyFont="1" applyFill="1" applyAlignment="1">
      <alignment vertical="center"/>
    </xf>
    <xf numFmtId="0" fontId="19" fillId="18" borderId="0" xfId="0" applyFont="1" applyFill="1" applyAlignment="1">
      <alignment vertical="center"/>
    </xf>
    <xf numFmtId="0" fontId="25" fillId="18" borderId="17" xfId="0" applyFont="1" applyFill="1" applyBorder="1" applyAlignment="1">
      <alignment horizontal="left" vertical="center"/>
    </xf>
    <xf numFmtId="0" fontId="25" fillId="18" borderId="17" xfId="0" applyFont="1" applyFill="1" applyBorder="1" applyAlignment="1">
      <alignment horizontal="center" vertical="center"/>
    </xf>
    <xf numFmtId="0" fontId="19" fillId="18" borderId="17" xfId="0" applyFont="1" applyFill="1" applyBorder="1" applyAlignment="1">
      <alignment horizontal="center" vertical="center"/>
    </xf>
    <xf numFmtId="0" fontId="25" fillId="18" borderId="25" xfId="0" applyFont="1" applyFill="1" applyBorder="1" applyAlignment="1" applyProtection="1">
      <alignment horizontal="center" vertical="center"/>
      <protection locked="0"/>
    </xf>
    <xf numFmtId="1" fontId="25" fillId="18" borderId="17" xfId="0" applyNumberFormat="1" applyFont="1" applyFill="1" applyBorder="1" applyAlignment="1">
      <alignment horizontal="center" vertical="center"/>
    </xf>
    <xf numFmtId="0" fontId="19" fillId="18" borderId="17" xfId="0" applyFont="1" applyFill="1" applyBorder="1" applyAlignment="1" applyProtection="1">
      <alignment horizontal="left" vertical="center" wrapText="1"/>
      <protection locked="0"/>
    </xf>
    <xf numFmtId="0" fontId="23" fillId="0" borderId="0" xfId="0" applyFont="1"/>
    <xf numFmtId="0" fontId="23" fillId="0" borderId="0" xfId="0" applyFont="1" applyAlignment="1" applyProtection="1">
      <alignment vertical="center"/>
      <protection locked="0"/>
    </xf>
    <xf numFmtId="0" fontId="17" fillId="9" borderId="0" xfId="0" applyFont="1" applyFill="1" applyAlignment="1">
      <alignment vertical="center"/>
    </xf>
    <xf numFmtId="0" fontId="18" fillId="9" borderId="0" xfId="0" applyFont="1" applyFill="1" applyAlignment="1">
      <alignment vertical="center"/>
    </xf>
    <xf numFmtId="0" fontId="17" fillId="9" borderId="0" xfId="0" applyFont="1" applyFill="1" applyAlignment="1">
      <alignment horizontal="right" vertical="center"/>
    </xf>
    <xf numFmtId="0" fontId="19" fillId="9" borderId="0" xfId="0" applyFont="1" applyFill="1"/>
    <xf numFmtId="0" fontId="39" fillId="0" borderId="2" xfId="0" applyFont="1" applyBorder="1"/>
    <xf numFmtId="0" fontId="19" fillId="9" borderId="0" xfId="0" applyFont="1" applyFill="1" applyAlignment="1">
      <alignment vertical="center"/>
    </xf>
    <xf numFmtId="0" fontId="19" fillId="0" borderId="2" xfId="0" applyFont="1" applyBorder="1" applyAlignment="1">
      <alignment vertical="center"/>
    </xf>
    <xf numFmtId="0" fontId="25" fillId="10" borderId="4" xfId="0" applyFont="1" applyFill="1" applyBorder="1" applyAlignment="1">
      <alignment vertical="center" wrapText="1"/>
    </xf>
    <xf numFmtId="0" fontId="19" fillId="10" borderId="0" xfId="0" applyFont="1" applyFill="1" applyAlignment="1">
      <alignment vertical="center"/>
    </xf>
    <xf numFmtId="0" fontId="19" fillId="10" borderId="5" xfId="0" applyFont="1" applyFill="1" applyBorder="1" applyAlignment="1">
      <alignment vertical="center"/>
    </xf>
    <xf numFmtId="0" fontId="19" fillId="0" borderId="4" xfId="0" applyFont="1" applyBorder="1" applyAlignment="1">
      <alignment vertical="center" wrapText="1"/>
    </xf>
    <xf numFmtId="0" fontId="19" fillId="0" borderId="0" xfId="0" applyFont="1" applyAlignment="1" applyProtection="1">
      <alignment horizontal="center" vertical="center"/>
      <protection locked="0"/>
    </xf>
    <xf numFmtId="0" fontId="19" fillId="11" borderId="5" xfId="0" applyFont="1" applyFill="1" applyBorder="1" applyAlignment="1" applyProtection="1">
      <alignment vertical="center"/>
      <protection locked="0"/>
    </xf>
    <xf numFmtId="0" fontId="19" fillId="10" borderId="0" xfId="0" applyFont="1" applyFill="1" applyAlignment="1" applyProtection="1">
      <alignment horizontal="center" vertical="center"/>
      <protection locked="0"/>
    </xf>
    <xf numFmtId="0" fontId="19" fillId="10" borderId="5" xfId="0" applyFont="1" applyFill="1" applyBorder="1" applyAlignment="1" applyProtection="1">
      <alignment vertical="center"/>
      <protection locked="0"/>
    </xf>
    <xf numFmtId="0" fontId="19" fillId="0" borderId="6" xfId="0" applyFont="1" applyBorder="1" applyAlignment="1">
      <alignment vertical="center" wrapText="1"/>
    </xf>
    <xf numFmtId="0" fontId="19" fillId="0" borderId="1" xfId="0" applyFont="1" applyBorder="1" applyAlignment="1" applyProtection="1">
      <alignment horizontal="center" vertical="center"/>
      <protection locked="0"/>
    </xf>
    <xf numFmtId="0" fontId="19" fillId="11" borderId="7" xfId="0" applyFont="1" applyFill="1" applyBorder="1" applyAlignment="1" applyProtection="1">
      <alignment vertical="center"/>
      <protection locked="0"/>
    </xf>
    <xf numFmtId="0" fontId="30" fillId="0" borderId="0" xfId="0" applyFont="1" applyAlignment="1">
      <alignment vertical="center"/>
    </xf>
    <xf numFmtId="0" fontId="17" fillId="5" borderId="0" xfId="0" applyFont="1" applyFill="1" applyAlignment="1">
      <alignment vertical="center"/>
    </xf>
    <xf numFmtId="0" fontId="18" fillId="5" borderId="0" xfId="0" applyFont="1" applyFill="1" applyAlignment="1">
      <alignment vertical="center"/>
    </xf>
    <xf numFmtId="0" fontId="17" fillId="5" borderId="0" xfId="0" applyFont="1" applyFill="1" applyAlignment="1">
      <alignment horizontal="center" vertical="center"/>
    </xf>
    <xf numFmtId="0" fontId="17" fillId="5" borderId="0" xfId="0" applyFont="1" applyFill="1" applyAlignment="1">
      <alignment horizontal="right" vertical="center"/>
    </xf>
    <xf numFmtId="0" fontId="19" fillId="5" borderId="0" xfId="0" applyFont="1" applyFill="1"/>
    <xf numFmtId="0" fontId="19" fillId="5" borderId="0" xfId="0" applyFont="1" applyFill="1" applyAlignment="1">
      <alignment vertical="center"/>
    </xf>
    <xf numFmtId="0" fontId="25" fillId="8" borderId="0" xfId="0" applyFont="1" applyFill="1" applyAlignment="1">
      <alignment vertical="center"/>
    </xf>
    <xf numFmtId="0" fontId="19" fillId="8" borderId="0" xfId="0" applyFont="1" applyFill="1" applyAlignment="1">
      <alignment vertical="center"/>
    </xf>
    <xf numFmtId="0" fontId="25" fillId="8" borderId="17" xfId="0" applyFont="1" applyFill="1" applyBorder="1" applyAlignment="1">
      <alignment horizontal="left" vertical="center"/>
    </xf>
    <xf numFmtId="0" fontId="25" fillId="8" borderId="17" xfId="0" applyFont="1" applyFill="1" applyBorder="1" applyAlignment="1">
      <alignment horizontal="center" vertical="center"/>
    </xf>
    <xf numFmtId="0" fontId="19" fillId="8" borderId="17" xfId="0" applyFont="1" applyFill="1" applyBorder="1" applyAlignment="1">
      <alignment horizontal="center" vertical="center"/>
    </xf>
    <xf numFmtId="0" fontId="25" fillId="8" borderId="25" xfId="0" applyFont="1" applyFill="1" applyBorder="1" applyAlignment="1" applyProtection="1">
      <alignment horizontal="center" vertical="center"/>
      <protection locked="0"/>
    </xf>
    <xf numFmtId="1" fontId="25" fillId="8" borderId="17" xfId="0" applyNumberFormat="1" applyFont="1" applyFill="1" applyBorder="1" applyAlignment="1">
      <alignment horizontal="center" vertical="center"/>
    </xf>
    <xf numFmtId="0" fontId="19" fillId="8" borderId="17" xfId="0" applyFont="1" applyFill="1" applyBorder="1" applyAlignment="1" applyProtection="1">
      <alignment horizontal="left" vertical="center" wrapText="1"/>
      <protection locked="0"/>
    </xf>
    <xf numFmtId="0" fontId="40" fillId="0" borderId="0" xfId="0" applyFont="1" applyAlignment="1">
      <alignment vertical="center"/>
    </xf>
    <xf numFmtId="2" fontId="29" fillId="0" borderId="4" xfId="0" applyNumberFormat="1" applyFont="1" applyBorder="1" applyAlignment="1">
      <alignment vertical="center"/>
    </xf>
    <xf numFmtId="0" fontId="41" fillId="0" borderId="0" xfId="0" applyFont="1" applyProtection="1">
      <protection hidden="1"/>
    </xf>
    <xf numFmtId="0" fontId="42" fillId="0" borderId="0" xfId="0" applyFont="1" applyProtection="1">
      <protection hidden="1"/>
    </xf>
    <xf numFmtId="0" fontId="43" fillId="0" borderId="0" xfId="0" applyFont="1" applyAlignment="1" applyProtection="1">
      <alignment vertical="center"/>
      <protection hidden="1"/>
    </xf>
    <xf numFmtId="0" fontId="32" fillId="4" borderId="0" xfId="0" applyFont="1" applyFill="1" applyAlignment="1" applyProtection="1">
      <alignment vertical="center"/>
      <protection locked="0"/>
    </xf>
    <xf numFmtId="0" fontId="32" fillId="4" borderId="1" xfId="0" applyFont="1" applyFill="1" applyBorder="1" applyAlignment="1" applyProtection="1">
      <alignment vertical="center"/>
      <protection locked="0"/>
    </xf>
    <xf numFmtId="0" fontId="32" fillId="4" borderId="5" xfId="0" applyFont="1" applyFill="1" applyBorder="1" applyAlignment="1" applyProtection="1">
      <alignment vertical="center"/>
      <protection locked="0"/>
    </xf>
    <xf numFmtId="0" fontId="32" fillId="4" borderId="7" xfId="0" applyFont="1" applyFill="1" applyBorder="1" applyAlignment="1" applyProtection="1">
      <alignment vertical="center"/>
      <protection locked="0"/>
    </xf>
    <xf numFmtId="10" fontId="19" fillId="0" borderId="0" xfId="0" applyNumberFormat="1" applyFont="1" applyAlignment="1">
      <alignment vertical="center"/>
    </xf>
    <xf numFmtId="9" fontId="25" fillId="7" borderId="17" xfId="0" applyNumberFormat="1" applyFont="1" applyFill="1" applyBorder="1" applyAlignment="1">
      <alignment horizontal="center" vertical="center" wrapText="1"/>
    </xf>
    <xf numFmtId="0" fontId="46" fillId="0" borderId="0" xfId="0" applyFont="1"/>
    <xf numFmtId="0" fontId="47" fillId="0" borderId="0" xfId="0" applyFont="1" applyAlignment="1">
      <alignment vertical="center"/>
    </xf>
    <xf numFmtId="9" fontId="25" fillId="0" borderId="11" xfId="0" applyNumberFormat="1" applyFont="1" applyBorder="1" applyAlignment="1" applyProtection="1">
      <alignment horizontal="center" vertical="center"/>
      <protection hidden="1"/>
    </xf>
    <xf numFmtId="9" fontId="25" fillId="0" borderId="10" xfId="0" applyNumberFormat="1" applyFont="1" applyBorder="1" applyAlignment="1" applyProtection="1">
      <alignment horizontal="center" vertical="center"/>
      <protection hidden="1"/>
    </xf>
    <xf numFmtId="9" fontId="25" fillId="0" borderId="27" xfId="0" applyNumberFormat="1" applyFont="1" applyBorder="1" applyAlignment="1" applyProtection="1">
      <alignment horizontal="center" vertical="center"/>
      <protection hidden="1"/>
    </xf>
    <xf numFmtId="0" fontId="34" fillId="18" borderId="0" xfId="0" applyFont="1" applyFill="1" applyAlignment="1" applyProtection="1">
      <alignment horizontal="left" vertical="center" wrapText="1"/>
      <protection hidden="1"/>
    </xf>
    <xf numFmtId="9" fontId="25" fillId="22" borderId="17" xfId="0" applyNumberFormat="1" applyFont="1" applyFill="1" applyBorder="1" applyAlignment="1">
      <alignment horizontal="center" vertical="center" wrapText="1"/>
    </xf>
    <xf numFmtId="10" fontId="25" fillId="0" borderId="11" xfId="0" applyNumberFormat="1" applyFont="1" applyBorder="1" applyAlignment="1" applyProtection="1">
      <alignment horizontal="center" vertical="center"/>
      <protection hidden="1"/>
    </xf>
    <xf numFmtId="10" fontId="25" fillId="0" borderId="10" xfId="0" applyNumberFormat="1" applyFont="1" applyBorder="1" applyAlignment="1" applyProtection="1">
      <alignment horizontal="center" vertical="center"/>
      <protection hidden="1"/>
    </xf>
    <xf numFmtId="9" fontId="25" fillId="23" borderId="17" xfId="0" applyNumberFormat="1" applyFont="1" applyFill="1" applyBorder="1" applyAlignment="1">
      <alignment horizontal="center" vertical="center" wrapText="1"/>
    </xf>
    <xf numFmtId="10" fontId="25" fillId="0" borderId="29" xfId="0" applyNumberFormat="1" applyFont="1" applyBorder="1" applyAlignment="1" applyProtection="1">
      <alignment horizontal="center" vertical="center"/>
      <protection hidden="1"/>
    </xf>
    <xf numFmtId="0" fontId="48" fillId="10" borderId="1" xfId="0" applyFont="1" applyFill="1" applyBorder="1" applyAlignment="1">
      <alignment vertical="center"/>
    </xf>
    <xf numFmtId="0" fontId="23" fillId="10" borderId="1" xfId="0" applyFont="1" applyFill="1" applyBorder="1" applyAlignment="1">
      <alignment vertical="center"/>
    </xf>
    <xf numFmtId="0" fontId="23" fillId="0" borderId="5" xfId="0" applyFont="1" applyBorder="1" applyAlignment="1">
      <alignment vertical="center"/>
    </xf>
    <xf numFmtId="0" fontId="19" fillId="2" borderId="4" xfId="0" applyFont="1" applyFill="1" applyBorder="1" applyAlignment="1" applyProtection="1">
      <alignment horizontal="left"/>
      <protection locked="0"/>
    </xf>
    <xf numFmtId="0" fontId="19" fillId="2" borderId="0" xfId="0" applyFont="1" applyFill="1" applyAlignment="1" applyProtection="1">
      <alignment horizontal="left"/>
      <protection locked="0"/>
    </xf>
    <xf numFmtId="0" fontId="19" fillId="2" borderId="5" xfId="0" applyFont="1" applyFill="1" applyBorder="1" applyAlignment="1" applyProtection="1">
      <alignment horizontal="left"/>
      <protection locked="0"/>
    </xf>
    <xf numFmtId="0" fontId="45" fillId="2" borderId="4" xfId="0" applyFont="1" applyFill="1" applyBorder="1" applyAlignment="1" applyProtection="1">
      <alignment horizontal="left"/>
      <protection locked="0"/>
    </xf>
    <xf numFmtId="0" fontId="45" fillId="2" borderId="0" xfId="0" applyFont="1" applyFill="1" applyAlignment="1" applyProtection="1">
      <alignment horizontal="left"/>
      <protection locked="0"/>
    </xf>
    <xf numFmtId="0" fontId="45" fillId="2" borderId="5" xfId="0" applyFont="1" applyFill="1" applyBorder="1" applyAlignment="1" applyProtection="1">
      <alignment horizontal="left"/>
      <protection locked="0"/>
    </xf>
    <xf numFmtId="0" fontId="19" fillId="2" borderId="6" xfId="0" applyFont="1" applyFill="1" applyBorder="1" applyAlignment="1" applyProtection="1">
      <alignment horizontal="left"/>
      <protection locked="0"/>
    </xf>
    <xf numFmtId="0" fontId="19" fillId="2" borderId="1" xfId="0" applyFont="1" applyFill="1" applyBorder="1" applyAlignment="1" applyProtection="1">
      <alignment horizontal="left"/>
      <protection locked="0"/>
    </xf>
    <xf numFmtId="0" fontId="19" fillId="2" borderId="7" xfId="0" applyFont="1" applyFill="1" applyBorder="1" applyAlignment="1" applyProtection="1">
      <alignment horizontal="left"/>
      <protection locked="0"/>
    </xf>
    <xf numFmtId="0" fontId="19" fillId="0" borderId="2" xfId="0" applyFont="1" applyBorder="1" applyAlignment="1">
      <alignment horizontal="left"/>
    </xf>
    <xf numFmtId="0" fontId="19" fillId="0" borderId="8" xfId="0" applyFont="1" applyBorder="1" applyAlignment="1">
      <alignment horizontal="left"/>
    </xf>
    <xf numFmtId="0" fontId="19" fillId="0" borderId="3" xfId="0" applyFont="1" applyBorder="1" applyAlignment="1">
      <alignment horizontal="left"/>
    </xf>
    <xf numFmtId="0" fontId="34" fillId="8" borderId="0" xfId="0" applyFont="1" applyFill="1" applyAlignment="1" applyProtection="1">
      <alignment horizontal="left" vertical="center" wrapText="1"/>
      <protection hidden="1"/>
    </xf>
    <xf numFmtId="0" fontId="34" fillId="17" borderId="16" xfId="0" applyFont="1" applyFill="1" applyBorder="1" applyAlignment="1" applyProtection="1">
      <alignment horizontal="left" vertical="center" wrapText="1"/>
      <protection hidden="1"/>
    </xf>
    <xf numFmtId="0" fontId="34" fillId="17" borderId="0" xfId="0" applyFont="1" applyFill="1" applyAlignment="1" applyProtection="1">
      <alignment horizontal="left" vertical="center" wrapText="1"/>
      <protection hidden="1"/>
    </xf>
    <xf numFmtId="0" fontId="34" fillId="18" borderId="0" xfId="0" applyFont="1" applyFill="1" applyAlignment="1" applyProtection="1">
      <alignment horizontal="left" vertical="center" wrapText="1"/>
      <protection hidden="1"/>
    </xf>
    <xf numFmtId="0" fontId="34" fillId="7" borderId="0" xfId="0" applyFont="1" applyFill="1" applyAlignment="1" applyProtection="1">
      <alignment horizontal="left" vertical="center" wrapText="1"/>
      <protection hidden="1"/>
    </xf>
    <xf numFmtId="0" fontId="34" fillId="5" borderId="16" xfId="0" applyFont="1" applyFill="1" applyBorder="1" applyAlignment="1" applyProtection="1">
      <alignment horizontal="left" vertical="center" wrapText="1"/>
      <protection hidden="1"/>
    </xf>
    <xf numFmtId="0" fontId="34" fillId="5" borderId="0" xfId="0" applyFont="1" applyFill="1" applyAlignment="1" applyProtection="1">
      <alignment horizontal="left" vertical="center" wrapText="1"/>
      <protection hidden="1"/>
    </xf>
    <xf numFmtId="0" fontId="32" fillId="4" borderId="0" xfId="0" applyFont="1" applyFill="1" applyAlignment="1" applyProtection="1">
      <alignment horizontal="left" vertical="top" wrapText="1"/>
      <protection hidden="1"/>
    </xf>
    <xf numFmtId="0" fontId="19" fillId="2" borderId="8" xfId="0" applyFont="1" applyFill="1" applyBorder="1" applyAlignment="1" applyProtection="1">
      <alignment horizontal="left"/>
      <protection locked="0"/>
    </xf>
    <xf numFmtId="0" fontId="19" fillId="2" borderId="3" xfId="0" applyFont="1" applyFill="1" applyBorder="1" applyAlignment="1" applyProtection="1">
      <alignment horizontal="left"/>
      <protection locked="0"/>
    </xf>
    <xf numFmtId="164" fontId="19" fillId="2" borderId="1" xfId="0" applyNumberFormat="1" applyFont="1" applyFill="1" applyBorder="1" applyAlignment="1" applyProtection="1">
      <alignment horizontal="left"/>
      <protection locked="0"/>
    </xf>
    <xf numFmtId="164" fontId="19" fillId="2" borderId="7" xfId="0" applyNumberFormat="1" applyFont="1" applyFill="1" applyBorder="1" applyAlignment="1" applyProtection="1">
      <alignment horizontal="left"/>
      <protection locked="0"/>
    </xf>
    <xf numFmtId="0" fontId="19" fillId="2" borderId="4" xfId="0" applyFont="1" applyFill="1" applyBorder="1" applyAlignment="1" applyProtection="1">
      <alignment horizontal="left" wrapText="1"/>
      <protection locked="0"/>
    </xf>
    <xf numFmtId="0" fontId="19" fillId="2" borderId="0" xfId="0" applyFont="1" applyFill="1" applyAlignment="1" applyProtection="1">
      <alignment horizontal="left" wrapText="1"/>
      <protection locked="0"/>
    </xf>
    <xf numFmtId="0" fontId="19" fillId="2" borderId="5" xfId="0" applyFont="1" applyFill="1" applyBorder="1" applyAlignment="1" applyProtection="1">
      <alignment horizontal="left" wrapText="1"/>
      <protection locked="0"/>
    </xf>
    <xf numFmtId="0" fontId="19" fillId="2" borderId="6" xfId="0" applyFont="1" applyFill="1" applyBorder="1" applyAlignment="1" applyProtection="1">
      <alignment horizontal="left" wrapText="1"/>
      <protection locked="0"/>
    </xf>
    <xf numFmtId="0" fontId="19" fillId="2" borderId="1" xfId="0" applyFont="1" applyFill="1" applyBorder="1" applyAlignment="1" applyProtection="1">
      <alignment horizontal="left" wrapText="1"/>
      <protection locked="0"/>
    </xf>
    <xf numFmtId="0" fontId="19" fillId="2" borderId="7" xfId="0" applyFont="1" applyFill="1" applyBorder="1" applyAlignment="1" applyProtection="1">
      <alignment horizontal="left" wrapText="1"/>
      <protection locked="0"/>
    </xf>
    <xf numFmtId="0" fontId="19" fillId="2" borderId="8" xfId="0" applyFont="1" applyFill="1" applyBorder="1" applyAlignment="1" applyProtection="1">
      <alignment horizontal="left" vertical="top"/>
      <protection locked="0"/>
    </xf>
    <xf numFmtId="0" fontId="19" fillId="2" borderId="3" xfId="0" applyFont="1" applyFill="1" applyBorder="1" applyAlignment="1" applyProtection="1">
      <alignment horizontal="left" vertical="top"/>
      <protection locked="0"/>
    </xf>
    <xf numFmtId="0" fontId="19" fillId="2" borderId="5" xfId="0" applyFont="1" applyFill="1" applyBorder="1" applyAlignment="1" applyProtection="1">
      <alignment horizontal="left" vertical="top"/>
      <protection locked="0"/>
    </xf>
    <xf numFmtId="0" fontId="19" fillId="2" borderId="1" xfId="0" applyFont="1" applyFill="1" applyBorder="1" applyAlignment="1" applyProtection="1">
      <alignment horizontal="left" vertical="top"/>
      <protection locked="0"/>
    </xf>
    <xf numFmtId="0" fontId="19" fillId="2" borderId="7" xfId="0" applyFont="1" applyFill="1" applyBorder="1" applyAlignment="1" applyProtection="1">
      <alignment horizontal="left" vertical="top"/>
      <protection locked="0"/>
    </xf>
    <xf numFmtId="0" fontId="40" fillId="0" borderId="0" xfId="0" applyFont="1" applyAlignment="1">
      <alignment horizontal="left" vertical="top" wrapText="1"/>
    </xf>
    <xf numFmtId="0" fontId="40" fillId="0" borderId="5" xfId="0" applyFont="1" applyBorder="1" applyAlignment="1">
      <alignment horizontal="left" vertical="top" wrapText="1"/>
    </xf>
    <xf numFmtId="0" fontId="32" fillId="8" borderId="0" xfId="0" applyFont="1" applyFill="1" applyAlignment="1" applyProtection="1">
      <alignment horizontal="left" vertical="top"/>
      <protection locked="0"/>
    </xf>
    <xf numFmtId="0" fontId="31" fillId="2" borderId="0" xfId="0" applyFont="1" applyFill="1" applyAlignment="1" applyProtection="1">
      <alignment horizontal="left" vertical="center"/>
      <protection hidden="1"/>
    </xf>
    <xf numFmtId="0" fontId="31" fillId="9" borderId="0" xfId="0" applyFont="1" applyFill="1" applyAlignment="1" applyProtection="1">
      <alignment horizontal="left" vertical="center"/>
      <protection hidden="1"/>
    </xf>
    <xf numFmtId="0" fontId="34" fillId="6" borderId="16" xfId="0" applyFont="1" applyFill="1" applyBorder="1" applyAlignment="1" applyProtection="1">
      <alignment horizontal="left" vertical="center" wrapText="1"/>
      <protection hidden="1"/>
    </xf>
    <xf numFmtId="0" fontId="34" fillId="6" borderId="0" xfId="0" applyFont="1" applyFill="1" applyAlignment="1" applyProtection="1">
      <alignment horizontal="left" vertical="center" wrapText="1"/>
      <protection hidden="1"/>
    </xf>
    <xf numFmtId="0" fontId="32" fillId="11" borderId="0" xfId="0" applyFont="1" applyFill="1" applyAlignment="1" applyProtection="1">
      <alignment horizontal="left" vertical="top"/>
      <protection hidden="1"/>
    </xf>
    <xf numFmtId="0" fontId="32" fillId="4" borderId="4" xfId="0" applyFont="1" applyFill="1" applyBorder="1" applyAlignment="1" applyProtection="1">
      <alignment horizontal="left" wrapText="1"/>
      <protection locked="0"/>
    </xf>
    <xf numFmtId="0" fontId="32" fillId="4" borderId="0" xfId="0" applyFont="1" applyFill="1" applyAlignment="1" applyProtection="1">
      <alignment horizontal="left" wrapText="1"/>
      <protection locked="0"/>
    </xf>
    <xf numFmtId="0" fontId="32" fillId="4" borderId="5" xfId="0" applyFont="1" applyFill="1" applyBorder="1" applyAlignment="1" applyProtection="1">
      <alignment horizontal="left" wrapText="1"/>
      <protection locked="0"/>
    </xf>
    <xf numFmtId="0" fontId="32" fillId="4" borderId="6" xfId="0" applyFont="1" applyFill="1" applyBorder="1" applyAlignment="1" applyProtection="1">
      <alignment horizontal="left" wrapText="1"/>
      <protection locked="0"/>
    </xf>
    <xf numFmtId="0" fontId="32" fillId="4" borderId="1" xfId="0" applyFont="1" applyFill="1" applyBorder="1" applyAlignment="1" applyProtection="1">
      <alignment horizontal="left" wrapText="1"/>
      <protection locked="0"/>
    </xf>
    <xf numFmtId="0" fontId="32" fillId="4" borderId="7" xfId="0" applyFont="1" applyFill="1" applyBorder="1" applyAlignment="1" applyProtection="1">
      <alignment horizontal="left" wrapText="1"/>
      <protection locked="0"/>
    </xf>
    <xf numFmtId="0" fontId="19" fillId="0" borderId="28" xfId="0" applyFont="1" applyBorder="1" applyAlignment="1">
      <alignment horizontal="center" vertical="center" textRotation="90"/>
    </xf>
    <xf numFmtId="0" fontId="19" fillId="0" borderId="10" xfId="0" applyFont="1" applyBorder="1" applyAlignment="1">
      <alignment horizontal="center" vertical="center" textRotation="90"/>
    </xf>
    <xf numFmtId="0" fontId="19" fillId="0" borderId="29" xfId="0" applyFont="1" applyBorder="1" applyAlignment="1">
      <alignment horizontal="center" vertical="center" textRotation="90"/>
    </xf>
    <xf numFmtId="0" fontId="19" fillId="0" borderId="8" xfId="0" applyFont="1" applyBorder="1" applyAlignment="1">
      <alignment horizontal="left" textRotation="80"/>
    </xf>
    <xf numFmtId="0" fontId="19" fillId="0" borderId="0" xfId="0" applyFont="1" applyAlignment="1">
      <alignment horizontal="left" textRotation="80"/>
    </xf>
    <xf numFmtId="9" fontId="22" fillId="0" borderId="21" xfId="0" applyNumberFormat="1" applyFont="1" applyBorder="1" applyAlignment="1" applyProtection="1">
      <alignment horizontal="center" vertical="center"/>
      <protection hidden="1"/>
    </xf>
    <xf numFmtId="9" fontId="22" fillId="0" borderId="22" xfId="0" applyNumberFormat="1" applyFont="1" applyBorder="1" applyAlignment="1" applyProtection="1">
      <alignment horizontal="center" vertical="center"/>
      <protection hidden="1"/>
    </xf>
    <xf numFmtId="9" fontId="22" fillId="0" borderId="16" xfId="0" applyNumberFormat="1" applyFont="1" applyBorder="1" applyAlignment="1" applyProtection="1">
      <alignment horizontal="center" vertical="center"/>
      <protection hidden="1"/>
    </xf>
    <xf numFmtId="9" fontId="22" fillId="0" borderId="12" xfId="0" applyNumberFormat="1" applyFont="1" applyBorder="1" applyAlignment="1" applyProtection="1">
      <alignment horizontal="center" vertical="center"/>
      <protection hidden="1"/>
    </xf>
    <xf numFmtId="9" fontId="22" fillId="0" borderId="18" xfId="0" applyNumberFormat="1" applyFont="1" applyBorder="1" applyAlignment="1" applyProtection="1">
      <alignment horizontal="center" vertical="center"/>
      <protection hidden="1"/>
    </xf>
    <xf numFmtId="9" fontId="22" fillId="0" borderId="19" xfId="0" applyNumberFormat="1" applyFont="1" applyBorder="1" applyAlignment="1" applyProtection="1">
      <alignment horizontal="center" vertical="center"/>
      <protection hidden="1"/>
    </xf>
    <xf numFmtId="0" fontId="19" fillId="0" borderId="8" xfId="0" applyFont="1" applyBorder="1" applyAlignment="1">
      <alignment horizontal="center" textRotation="80" wrapText="1"/>
    </xf>
    <xf numFmtId="0" fontId="19" fillId="0" borderId="0" xfId="0" applyFont="1" applyAlignment="1">
      <alignment horizontal="center" textRotation="80" wrapText="1"/>
    </xf>
    <xf numFmtId="0" fontId="19" fillId="7" borderId="0" xfId="0" applyFont="1" applyFill="1" applyAlignment="1" applyProtection="1">
      <alignment horizontal="left" wrapText="1"/>
      <protection locked="0"/>
    </xf>
    <xf numFmtId="0" fontId="19" fillId="7" borderId="5" xfId="0" applyFont="1" applyFill="1" applyBorder="1" applyAlignment="1" applyProtection="1">
      <alignment horizontal="left" wrapText="1"/>
      <protection locked="0"/>
    </xf>
    <xf numFmtId="0" fontId="19" fillId="7" borderId="1" xfId="0" applyFont="1" applyFill="1" applyBorder="1" applyAlignment="1" applyProtection="1">
      <alignment horizontal="left" wrapText="1"/>
      <protection locked="0"/>
    </xf>
    <xf numFmtId="0" fontId="19" fillId="7" borderId="7" xfId="0" applyFont="1" applyFill="1" applyBorder="1" applyAlignment="1" applyProtection="1">
      <alignment horizontal="left" wrapText="1"/>
      <protection locked="0"/>
    </xf>
    <xf numFmtId="0" fontId="32" fillId="18" borderId="0" xfId="0" applyFont="1" applyFill="1" applyAlignment="1" applyProtection="1">
      <alignment horizontal="left" wrapText="1"/>
      <protection locked="0"/>
    </xf>
    <xf numFmtId="0" fontId="32" fillId="18" borderId="5" xfId="0" applyFont="1" applyFill="1" applyBorder="1" applyAlignment="1" applyProtection="1">
      <alignment horizontal="left" wrapText="1"/>
      <protection locked="0"/>
    </xf>
    <xf numFmtId="0" fontId="32" fillId="18" borderId="1" xfId="0" applyFont="1" applyFill="1" applyBorder="1" applyAlignment="1" applyProtection="1">
      <alignment horizontal="left" wrapText="1"/>
      <protection locked="0"/>
    </xf>
    <xf numFmtId="0" fontId="32" fillId="18" borderId="7" xfId="0" applyFont="1" applyFill="1" applyBorder="1" applyAlignment="1" applyProtection="1">
      <alignment horizontal="left" wrapText="1"/>
      <protection locked="0"/>
    </xf>
    <xf numFmtId="0" fontId="32" fillId="8" borderId="16" xfId="0" applyFont="1" applyFill="1" applyBorder="1" applyAlignment="1" applyProtection="1">
      <alignment horizontal="left" wrapText="1"/>
      <protection locked="0"/>
    </xf>
    <xf numFmtId="0" fontId="32" fillId="8" borderId="0" xfId="0" applyFont="1" applyFill="1" applyAlignment="1" applyProtection="1">
      <alignment horizontal="left" wrapText="1"/>
      <protection locked="0"/>
    </xf>
    <xf numFmtId="0" fontId="32" fillId="8" borderId="5" xfId="0" applyFont="1" applyFill="1" applyBorder="1" applyAlignment="1" applyProtection="1">
      <alignment horizontal="left" wrapText="1"/>
      <protection locked="0"/>
    </xf>
    <xf numFmtId="0" fontId="32" fillId="8" borderId="20" xfId="0" applyFont="1" applyFill="1" applyBorder="1" applyAlignment="1" applyProtection="1">
      <alignment horizontal="left" wrapText="1"/>
      <protection locked="0"/>
    </xf>
    <xf numFmtId="0" fontId="32" fillId="8" borderId="7" xfId="0" applyFont="1" applyFill="1" applyBorder="1" applyAlignment="1" applyProtection="1">
      <alignment horizontal="left" wrapText="1"/>
      <protection locked="0"/>
    </xf>
    <xf numFmtId="0" fontId="32" fillId="11" borderId="30" xfId="0" applyFont="1" applyFill="1" applyBorder="1" applyAlignment="1" applyProtection="1">
      <alignment horizontal="left" wrapText="1"/>
      <protection locked="0"/>
    </xf>
    <xf numFmtId="0" fontId="32" fillId="11" borderId="40" xfId="0" applyFont="1" applyFill="1" applyBorder="1" applyAlignment="1" applyProtection="1">
      <alignment horizontal="left" wrapText="1"/>
      <protection locked="0"/>
    </xf>
    <xf numFmtId="0" fontId="32" fillId="11" borderId="42" xfId="0" applyFont="1" applyFill="1" applyBorder="1" applyAlignment="1" applyProtection="1">
      <alignment horizontal="left" wrapText="1"/>
      <protection locked="0"/>
    </xf>
    <xf numFmtId="0" fontId="32" fillId="11" borderId="33" xfId="0" applyFont="1" applyFill="1" applyBorder="1" applyAlignment="1" applyProtection="1">
      <alignment horizontal="left" wrapText="1"/>
      <protection locked="0"/>
    </xf>
    <xf numFmtId="0" fontId="32" fillId="11" borderId="35" xfId="0" applyFont="1" applyFill="1" applyBorder="1" applyAlignment="1" applyProtection="1">
      <alignment horizontal="left" wrapText="1"/>
      <protection locked="0"/>
    </xf>
    <xf numFmtId="0" fontId="32" fillId="11" borderId="43" xfId="0" applyFont="1" applyFill="1" applyBorder="1" applyAlignment="1" applyProtection="1">
      <alignment horizontal="left" wrapText="1"/>
      <protection locked="0"/>
    </xf>
    <xf numFmtId="0" fontId="1" fillId="10" borderId="0" xfId="0" applyFont="1" applyFill="1" applyAlignment="1">
      <alignment horizontal="left" wrapText="1"/>
    </xf>
    <xf numFmtId="0" fontId="6" fillId="20" borderId="37" xfId="0" applyFont="1" applyFill="1" applyBorder="1" applyAlignment="1">
      <alignment horizontal="center" vertical="center"/>
    </xf>
    <xf numFmtId="0" fontId="6" fillId="20" borderId="38" xfId="0" applyFont="1" applyFill="1" applyBorder="1" applyAlignment="1">
      <alignment horizontal="center" vertical="center"/>
    </xf>
    <xf numFmtId="0" fontId="6" fillId="20" borderId="39" xfId="0" applyFont="1" applyFill="1" applyBorder="1" applyAlignment="1">
      <alignment horizontal="center" vertical="center"/>
    </xf>
    <xf numFmtId="0" fontId="1" fillId="20" borderId="0" xfId="0" applyFont="1" applyFill="1" applyAlignment="1">
      <alignment horizontal="left" vertical="center" wrapText="1"/>
    </xf>
    <xf numFmtId="0" fontId="1" fillId="10" borderId="4" xfId="0" applyFont="1" applyFill="1" applyBorder="1" applyAlignment="1">
      <alignment vertical="center"/>
    </xf>
    <xf numFmtId="0" fontId="1" fillId="10" borderId="0" xfId="0" applyFont="1" applyFill="1" applyAlignment="1">
      <alignment vertical="center"/>
    </xf>
    <xf numFmtId="0" fontId="1" fillId="10" borderId="5" xfId="0" applyFont="1" applyFill="1" applyBorder="1" applyAlignment="1">
      <alignment vertical="center"/>
    </xf>
    <xf numFmtId="0" fontId="3" fillId="10" borderId="0" xfId="0" applyFont="1" applyFill="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10" borderId="0" xfId="0" applyFont="1" applyFill="1" applyAlignment="1">
      <alignment horizontal="center" vertical="center"/>
    </xf>
    <xf numFmtId="0" fontId="1" fillId="10" borderId="35" xfId="0" applyFont="1" applyFill="1" applyBorder="1" applyAlignment="1">
      <alignment vertical="center"/>
    </xf>
    <xf numFmtId="0" fontId="1" fillId="10" borderId="23" xfId="0" applyFont="1" applyFill="1" applyBorder="1" applyAlignment="1">
      <alignment vertical="center"/>
    </xf>
    <xf numFmtId="0" fontId="1" fillId="10" borderId="36" xfId="0" applyFont="1" applyFill="1" applyBorder="1" applyAlignment="1">
      <alignment vertical="center"/>
    </xf>
    <xf numFmtId="164" fontId="1" fillId="20" borderId="0" xfId="0" applyNumberFormat="1" applyFont="1" applyFill="1" applyAlignment="1">
      <alignment horizontal="left" vertical="center"/>
    </xf>
    <xf numFmtId="0" fontId="15" fillId="10" borderId="33" xfId="0" applyFont="1" applyFill="1" applyBorder="1" applyAlignment="1">
      <alignment horizontal="center" vertical="center"/>
    </xf>
    <xf numFmtId="0" fontId="16" fillId="10" borderId="23" xfId="0" applyFont="1" applyFill="1" applyBorder="1" applyAlignment="1">
      <alignment horizontal="center" vertical="center"/>
    </xf>
    <xf numFmtId="0" fontId="16" fillId="10" borderId="34" xfId="0" applyFont="1" applyFill="1" applyBorder="1" applyAlignment="1">
      <alignment horizontal="center" vertical="center"/>
    </xf>
    <xf numFmtId="0" fontId="1" fillId="10" borderId="4" xfId="0" applyFont="1" applyFill="1" applyBorder="1" applyAlignment="1">
      <alignment horizontal="center" vertical="center" wrapText="1"/>
    </xf>
    <xf numFmtId="0" fontId="1" fillId="10" borderId="0" xfId="0" applyFont="1" applyFill="1" applyAlignment="1">
      <alignment horizontal="center" vertical="center" wrapText="1"/>
    </xf>
    <xf numFmtId="0" fontId="1" fillId="10" borderId="5"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0" borderId="7" xfId="0" applyFont="1" applyFill="1" applyBorder="1" applyAlignment="1">
      <alignment horizontal="center" vertical="center" wrapText="1"/>
    </xf>
  </cellXfs>
  <cellStyles count="1">
    <cellStyle name="Normal" xfId="0" builtinId="0"/>
  </cellStyles>
  <dxfs count="73">
    <dxf>
      <font>
        <color theme="0" tint="-4.9989318521683403E-2"/>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8" tint="0.79998168889431442"/>
        </patternFill>
      </fill>
    </dxf>
    <dxf>
      <font>
        <color rgb="FF00B050"/>
      </font>
    </dxf>
    <dxf>
      <font>
        <color rgb="FFFF0000"/>
      </font>
    </dxf>
    <dxf>
      <font>
        <color rgb="FF9C5700"/>
      </font>
      <fill>
        <patternFill>
          <bgColor rgb="FFFFEB9C"/>
        </patternFill>
      </fill>
    </dxf>
    <dxf>
      <font>
        <color rgb="FF00B050"/>
      </font>
    </dxf>
    <dxf>
      <font>
        <color rgb="FFFF0000"/>
      </font>
    </dxf>
    <dxf>
      <font>
        <b/>
        <i val="0"/>
        <color rgb="FFFFFFFF"/>
      </font>
      <fill>
        <patternFill patternType="solid">
          <bgColor rgb="FFF4B084"/>
        </patternFill>
      </fill>
    </dxf>
    <dxf>
      <font>
        <b/>
        <i val="0"/>
        <color rgb="FFFFFFFF"/>
      </font>
      <fill>
        <patternFill patternType="solid">
          <bgColor rgb="FFFFD966"/>
        </patternFill>
      </fill>
    </dxf>
    <dxf>
      <font>
        <b/>
        <i val="0"/>
        <color rgb="FFFFFFFF"/>
      </font>
      <fill>
        <patternFill patternType="solid">
          <bgColor rgb="FFA9D08E"/>
        </patternFill>
      </fill>
    </dxf>
    <dxf>
      <font>
        <b/>
        <i val="0"/>
        <color rgb="FFFFFFFF"/>
      </font>
      <fill>
        <patternFill patternType="solid">
          <bgColor rgb="FF9BC2E6"/>
        </patternFill>
      </fill>
    </dxf>
    <dxf>
      <font>
        <b/>
        <i val="0"/>
        <color rgb="FFFFFFFF"/>
      </font>
      <fill>
        <patternFill patternType="solid">
          <bgColor rgb="FF8EA9DB"/>
        </patternFill>
      </fill>
    </dxf>
    <dxf>
      <font>
        <b/>
        <i val="0"/>
        <color rgb="FFFFFFFF"/>
      </font>
      <fill>
        <patternFill patternType="solid">
          <bgColor rgb="FFF4B084"/>
        </patternFill>
      </fill>
    </dxf>
    <dxf>
      <font>
        <b/>
        <i val="0"/>
        <color rgb="FFFFFFFF"/>
      </font>
      <fill>
        <patternFill patternType="solid">
          <bgColor rgb="FFFFD966"/>
        </patternFill>
      </fill>
    </dxf>
    <dxf>
      <font>
        <b/>
        <i val="0"/>
        <color rgb="FFFFFFFF"/>
      </font>
      <fill>
        <patternFill patternType="solid">
          <bgColor rgb="FFA9D08E"/>
        </patternFill>
      </fill>
    </dxf>
    <dxf>
      <font>
        <b/>
        <i val="0"/>
        <color rgb="FFFFFFFF"/>
      </font>
      <fill>
        <patternFill patternType="solid">
          <bgColor rgb="FF9BC2E6"/>
        </patternFill>
      </fill>
    </dxf>
    <dxf>
      <font>
        <b/>
        <i val="0"/>
        <color rgb="FFFFFFFF"/>
      </font>
      <fill>
        <patternFill patternType="solid">
          <bgColor rgb="FF8EA9DB"/>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8" tint="0.79998168889431442"/>
        </patternFill>
      </fill>
    </dxf>
    <dxf>
      <font>
        <color rgb="FF00B050"/>
      </font>
    </dxf>
    <dxf>
      <font>
        <color rgb="FFFF0000"/>
      </font>
    </dxf>
    <dxf>
      <font>
        <color rgb="FF9C5700"/>
      </font>
      <fill>
        <patternFill>
          <bgColor rgb="FFFFEB9C"/>
        </patternFill>
      </fill>
    </dxf>
    <dxf>
      <font>
        <color rgb="FF00B050"/>
      </font>
    </dxf>
    <dxf>
      <font>
        <color rgb="FFFF0000"/>
      </font>
    </dxf>
    <dxf>
      <font>
        <b/>
        <i val="0"/>
        <color rgb="FFFFFFFF"/>
      </font>
      <fill>
        <patternFill patternType="solid">
          <bgColor rgb="FFF4B084"/>
        </patternFill>
      </fill>
    </dxf>
    <dxf>
      <font>
        <b/>
        <i val="0"/>
        <color rgb="FFFFFFFF"/>
      </font>
      <fill>
        <patternFill patternType="solid">
          <bgColor rgb="FFFFD966"/>
        </patternFill>
      </fill>
    </dxf>
    <dxf>
      <font>
        <b/>
        <i val="0"/>
        <color rgb="FFFFFFFF"/>
      </font>
      <fill>
        <patternFill patternType="solid">
          <bgColor rgb="FFA9D08E"/>
        </patternFill>
      </fill>
    </dxf>
    <dxf>
      <font>
        <b/>
        <i val="0"/>
        <color rgb="FFFFFFFF"/>
      </font>
      <fill>
        <patternFill patternType="solid">
          <bgColor rgb="FF9BC2E6"/>
        </patternFill>
      </fill>
    </dxf>
    <dxf>
      <font>
        <b/>
        <i val="0"/>
        <color rgb="FFFFFFFF"/>
      </font>
      <fill>
        <patternFill patternType="solid">
          <bgColor rgb="FF8EA9DB"/>
        </patternFill>
      </fill>
    </dxf>
    <dxf>
      <font>
        <b/>
        <i val="0"/>
        <color rgb="FFFFFFFF"/>
      </font>
      <fill>
        <patternFill patternType="solid">
          <bgColor rgb="FFF4B084"/>
        </patternFill>
      </fill>
    </dxf>
    <dxf>
      <font>
        <b/>
        <i val="0"/>
        <color rgb="FFFFFFFF"/>
      </font>
      <fill>
        <patternFill patternType="solid">
          <bgColor rgb="FFFFD966"/>
        </patternFill>
      </fill>
    </dxf>
    <dxf>
      <font>
        <b/>
        <i val="0"/>
        <color rgb="FFFFFFFF"/>
      </font>
      <fill>
        <patternFill patternType="solid">
          <bgColor rgb="FFA9D08E"/>
        </patternFill>
      </fill>
    </dxf>
    <dxf>
      <font>
        <b/>
        <i val="0"/>
        <color rgb="FFFFFFFF"/>
      </font>
      <fill>
        <patternFill patternType="solid">
          <bgColor rgb="FF9BC2E6"/>
        </patternFill>
      </fill>
    </dxf>
    <dxf>
      <font>
        <b/>
        <i val="0"/>
        <color rgb="FFFFFFFF"/>
      </font>
      <fill>
        <patternFill patternType="solid">
          <bgColor rgb="FF8EA9DB"/>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8" tint="0.79998168889431442"/>
        </patternFill>
      </fill>
    </dxf>
    <dxf>
      <font>
        <color rgb="FF00B050"/>
      </font>
    </dxf>
    <dxf>
      <font>
        <color rgb="FFFF0000"/>
      </font>
    </dxf>
    <dxf>
      <font>
        <color rgb="FF9C5700"/>
      </font>
      <fill>
        <patternFill>
          <bgColor rgb="FFFFEB9C"/>
        </patternFill>
      </fill>
    </dxf>
    <dxf>
      <font>
        <b/>
        <i val="0"/>
        <color rgb="FFFFFFFF"/>
      </font>
      <fill>
        <patternFill patternType="solid">
          <bgColor rgb="FFF4B084"/>
        </patternFill>
      </fill>
    </dxf>
    <dxf>
      <font>
        <b/>
        <i val="0"/>
        <color rgb="FFFFFFFF"/>
      </font>
      <fill>
        <patternFill patternType="solid">
          <bgColor rgb="FFFFD966"/>
        </patternFill>
      </fill>
    </dxf>
    <dxf>
      <font>
        <b/>
        <i val="0"/>
        <color rgb="FFFFFFFF"/>
      </font>
      <fill>
        <patternFill patternType="solid">
          <bgColor rgb="FFA9D08E"/>
        </patternFill>
      </fill>
    </dxf>
    <dxf>
      <font>
        <b/>
        <i val="0"/>
        <color rgb="FFFFFFFF"/>
      </font>
      <fill>
        <patternFill patternType="solid">
          <bgColor rgb="FF9BC2E6"/>
        </patternFill>
      </fill>
    </dxf>
    <dxf>
      <font>
        <b/>
        <i val="0"/>
        <color rgb="FFFFFFFF"/>
      </font>
      <fill>
        <patternFill patternType="solid">
          <bgColor rgb="FF8EA9DB"/>
        </patternFill>
      </fill>
    </dxf>
    <dxf>
      <font>
        <color rgb="FFFCE4D6"/>
      </font>
      <fill>
        <patternFill patternType="solid">
          <bgColor rgb="FFF4B084"/>
        </patternFill>
      </fill>
    </dxf>
    <dxf>
      <font>
        <color rgb="FFFFF2CC"/>
      </font>
      <fill>
        <patternFill patternType="solid">
          <bgColor rgb="FFFFD966"/>
        </patternFill>
      </fill>
    </dxf>
    <dxf>
      <font>
        <color rgb="FFE2EFDA"/>
      </font>
      <fill>
        <patternFill patternType="solid">
          <bgColor rgb="FFA9D08E"/>
        </patternFill>
      </fill>
    </dxf>
    <dxf>
      <font>
        <color rgb="FFDDEBF7"/>
      </font>
      <fill>
        <patternFill patternType="solid">
          <bgColor rgb="FF9BC2E6"/>
        </patternFill>
      </fill>
    </dxf>
    <dxf>
      <font>
        <color rgb="FFD9E1F2"/>
      </font>
      <fill>
        <patternFill patternType="solid">
          <bgColor rgb="FF8EA9DB"/>
        </patternFill>
      </fill>
    </dxf>
    <dxf>
      <font>
        <color rgb="FF9C5700"/>
      </font>
      <fill>
        <patternFill>
          <bgColor rgb="FFFFEB9C"/>
        </patternFill>
      </fill>
    </dxf>
    <dxf>
      <font>
        <color rgb="FF006100"/>
      </font>
      <fill>
        <patternFill>
          <bgColor rgb="FFC6EFCE"/>
        </patternFill>
      </fill>
    </dxf>
    <dxf>
      <font>
        <color rgb="FF002060"/>
      </font>
      <fill>
        <patternFill patternType="solid">
          <bgColor theme="8" tint="0.79998168889431442"/>
        </patternFill>
      </fill>
    </dxf>
    <dxf>
      <font>
        <color theme="4" tint="0.79998168889431442"/>
      </font>
    </dxf>
    <dxf>
      <font>
        <color rgb="FFE2EFDA"/>
      </font>
    </dxf>
    <dxf>
      <font>
        <color rgb="FFDDEBF7"/>
      </font>
    </dxf>
    <dxf>
      <font>
        <color rgb="FFFFF2CC"/>
      </font>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FFDBDB"/>
      </font>
    </dxf>
  </dxfs>
  <tableStyles count="0" defaultTableStyle="TableStyleMedium2" defaultPivotStyle="PivotStyleMedium9"/>
  <colors>
    <mruColors>
      <color rgb="FFA6FFC9"/>
      <color rgb="FFFFDBDB"/>
      <color rgb="FFFFF7DE"/>
      <color rgb="FFFF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Isatis / Justin Chanel" id="{AE36CC05-8414-4106-B302-785128047A21}" userId="S::justin.chanel@scout-ne.ch::26c4aae2-3b94-47cd-93a5-777faae17c11" providerId="AD"/>
  <person displayName="Bastien Nicoud" id="{F3521B8F-24E2-420B-9A9F-3C61EC086AD2}" userId="S::bastien.nicoud@scout-ne.ch::d6b6cdd0-e44b-4c77-afdf-192b2d0eda4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1" dT="2026-01-12T19:11:57.01" personId="{AE36CC05-8414-4106-B302-785128047A21}" id="{629B68FF-061D-493D-94BE-507918F19C91}">
    <text xml:space="preserve">a revoir
</text>
  </threadedComment>
</ThreadedComments>
</file>

<file path=xl/threadedComments/threadedComment2.xml><?xml version="1.0" encoding="utf-8"?>
<ThreadedComments xmlns="http://schemas.microsoft.com/office/spreadsheetml/2018/threadedcomments" xmlns:x="http://schemas.openxmlformats.org/spreadsheetml/2006/main">
  <threadedComment ref="B32" dT="2023-02-22T14:21:24.50" personId="{F3521B8F-24E2-420B-9A9F-3C61EC086AD2}" id="{8D24054F-71C2-4B67-ACAB-F0D60264BB22}">
    <text>La partie évaluation d'une randonnée est-elle évaluable dans notre cours ? peut être si on fait un moment d'auto eval de leur plage d'animation d'une randonnnée.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6DCE4"/>
    <pageSetUpPr fitToPage="1"/>
  </sheetPr>
  <dimension ref="A1:P54"/>
  <sheetViews>
    <sheetView tabSelected="1" zoomScale="63" zoomScaleNormal="100" workbookViewId="0">
      <selection activeCell="F11" sqref="F11"/>
    </sheetView>
  </sheetViews>
  <sheetFormatPr defaultColWidth="9.140625" defaultRowHeight="15" customHeight="1"/>
  <cols>
    <col min="1" max="1" width="3.5703125" style="108" customWidth="1"/>
    <col min="2" max="2" width="3.5703125" style="53" customWidth="1"/>
    <col min="3" max="4" width="14.7109375" style="53" customWidth="1"/>
    <col min="5" max="6" width="9.5703125" style="53" customWidth="1"/>
    <col min="7" max="12" width="14.7109375" style="53" customWidth="1"/>
    <col min="13" max="13" width="3.5703125" style="53" customWidth="1"/>
    <col min="14" max="14" width="7.28515625" style="110" customWidth="1"/>
    <col min="15" max="16" width="9.140625" style="110"/>
    <col min="17" max="17" width="9.140625" style="53"/>
    <col min="18" max="18" width="27.42578125" style="53" bestFit="1" customWidth="1"/>
    <col min="19" max="16384" width="9.140625" style="53"/>
  </cols>
  <sheetData>
    <row r="1" spans="1:16" s="49" customFormat="1" ht="26.1" customHeight="1">
      <c r="A1" s="104"/>
      <c r="B1" s="104"/>
      <c r="C1" s="105" t="str">
        <f>_xlfn.CONCAT(D3, " / ",D4, " ",D5)</f>
        <v>Kangourou / Toto Tutu</v>
      </c>
      <c r="D1" s="104"/>
      <c r="E1" s="104"/>
      <c r="F1" s="104"/>
      <c r="G1" s="104"/>
      <c r="H1" s="104"/>
      <c r="I1" s="104"/>
      <c r="J1" s="104"/>
      <c r="K1" s="104"/>
      <c r="L1" s="106" t="s">
        <v>0</v>
      </c>
      <c r="M1" s="106"/>
      <c r="N1" s="107"/>
      <c r="O1" s="220" t="s">
        <v>1</v>
      </c>
      <c r="P1" s="107"/>
    </row>
    <row r="3" spans="1:16" ht="14.45">
      <c r="C3" s="109" t="s">
        <v>2</v>
      </c>
      <c r="D3" s="271" t="s">
        <v>3</v>
      </c>
      <c r="E3" s="272"/>
      <c r="G3" s="109" t="s">
        <v>4</v>
      </c>
      <c r="H3" s="261" t="s">
        <v>5</v>
      </c>
      <c r="I3" s="261"/>
      <c r="J3" s="261"/>
      <c r="K3" s="261"/>
      <c r="L3" s="262"/>
    </row>
    <row r="4" spans="1:16" ht="14.45">
      <c r="C4" s="63" t="s">
        <v>6</v>
      </c>
      <c r="D4" s="273" t="s">
        <v>7</v>
      </c>
      <c r="E4" s="273"/>
      <c r="G4" s="63" t="s">
        <v>8</v>
      </c>
      <c r="H4" s="242" t="s">
        <v>9</v>
      </c>
      <c r="I4" s="242"/>
      <c r="J4" s="242"/>
      <c r="K4" s="242"/>
      <c r="L4" s="243"/>
    </row>
    <row r="5" spans="1:16" ht="14.45">
      <c r="C5" s="111" t="s">
        <v>10</v>
      </c>
      <c r="D5" s="274" t="s">
        <v>11</v>
      </c>
      <c r="E5" s="275"/>
      <c r="G5" s="111" t="s">
        <v>12</v>
      </c>
      <c r="H5" s="263" t="s">
        <v>13</v>
      </c>
      <c r="I5" s="263"/>
      <c r="J5" s="263"/>
      <c r="K5" s="263"/>
      <c r="L5" s="264"/>
    </row>
    <row r="6" spans="1:16" ht="14.45">
      <c r="H6" s="112"/>
      <c r="I6" s="112"/>
      <c r="J6" s="112"/>
      <c r="K6" s="112"/>
    </row>
    <row r="7" spans="1:16" ht="14.45">
      <c r="C7" s="113" t="s">
        <v>14</v>
      </c>
      <c r="D7" s="114"/>
      <c r="E7" s="114"/>
      <c r="F7" s="114"/>
      <c r="G7" s="114"/>
      <c r="H7" s="114"/>
      <c r="I7" s="114"/>
      <c r="J7" s="114"/>
      <c r="K7" s="114"/>
      <c r="L7" s="115"/>
    </row>
    <row r="8" spans="1:16">
      <c r="C8" s="265"/>
      <c r="D8" s="266"/>
      <c r="E8" s="266"/>
      <c r="F8" s="266"/>
      <c r="G8" s="266"/>
      <c r="H8" s="266"/>
      <c r="I8" s="266"/>
      <c r="J8" s="266"/>
      <c r="K8" s="266"/>
      <c r="L8" s="267"/>
    </row>
    <row r="9" spans="1:16">
      <c r="C9" s="265"/>
      <c r="D9" s="266"/>
      <c r="E9" s="266"/>
      <c r="F9" s="266"/>
      <c r="G9" s="266"/>
      <c r="H9" s="266"/>
      <c r="I9" s="266"/>
      <c r="J9" s="266"/>
      <c r="K9" s="266"/>
      <c r="L9" s="267"/>
    </row>
    <row r="10" spans="1:16">
      <c r="C10" s="268"/>
      <c r="D10" s="269"/>
      <c r="E10" s="269"/>
      <c r="F10" s="269"/>
      <c r="G10" s="269"/>
      <c r="H10" s="269"/>
      <c r="I10" s="269"/>
      <c r="J10" s="269"/>
      <c r="K10" s="269"/>
      <c r="L10" s="270"/>
    </row>
    <row r="12" spans="1:16" ht="14.45">
      <c r="C12" s="250" t="s">
        <v>15</v>
      </c>
      <c r="D12" s="251"/>
      <c r="E12" s="251"/>
      <c r="F12" s="251"/>
      <c r="G12" s="252"/>
      <c r="H12" s="109" t="s">
        <v>16</v>
      </c>
      <c r="I12" s="61"/>
      <c r="J12" s="61"/>
      <c r="K12" s="61"/>
      <c r="L12" s="116"/>
    </row>
    <row r="13" spans="1:16" ht="14.45">
      <c r="C13" s="241"/>
      <c r="D13" s="242"/>
      <c r="E13" s="242"/>
      <c r="F13" s="242"/>
      <c r="G13" s="243"/>
      <c r="H13" s="241"/>
      <c r="I13" s="242"/>
      <c r="J13" s="242"/>
      <c r="K13" s="242"/>
      <c r="L13" s="243"/>
    </row>
    <row r="14" spans="1:16" ht="14.45">
      <c r="C14" s="244"/>
      <c r="D14" s="245"/>
      <c r="E14" s="245"/>
      <c r="F14" s="245"/>
      <c r="G14" s="246"/>
      <c r="H14" s="241"/>
      <c r="I14" s="242"/>
      <c r="J14" s="242"/>
      <c r="K14" s="242"/>
      <c r="L14" s="243"/>
    </row>
    <row r="15" spans="1:16" ht="14.45">
      <c r="C15" s="247"/>
      <c r="D15" s="248"/>
      <c r="E15" s="248"/>
      <c r="F15" s="248"/>
      <c r="G15" s="249"/>
      <c r="H15" s="247"/>
      <c r="I15" s="248"/>
      <c r="J15" s="248"/>
      <c r="K15" s="248"/>
      <c r="L15" s="249"/>
    </row>
    <row r="17" spans="3:16" ht="14.45">
      <c r="C17" s="117" t="s">
        <v>17</v>
      </c>
      <c r="D17" s="118"/>
      <c r="E17" s="118" t="s">
        <v>18</v>
      </c>
      <c r="F17" s="118"/>
      <c r="G17" s="118"/>
      <c r="H17" s="118"/>
      <c r="I17" s="118"/>
      <c r="J17" s="118"/>
      <c r="K17" s="118"/>
      <c r="L17" s="119"/>
    </row>
    <row r="19" spans="3:16" ht="15.95">
      <c r="C19" s="120" t="s">
        <v>19</v>
      </c>
      <c r="D19" s="121"/>
      <c r="E19" s="120" t="s">
        <v>20</v>
      </c>
      <c r="F19" s="120"/>
      <c r="G19" s="120" t="s">
        <v>21</v>
      </c>
      <c r="H19" s="120"/>
      <c r="I19" s="120"/>
      <c r="J19" s="120"/>
      <c r="K19" s="120"/>
      <c r="L19" s="120"/>
    </row>
    <row r="20" spans="3:16" ht="14.45">
      <c r="C20" s="110"/>
      <c r="D20" s="110"/>
      <c r="E20" s="110"/>
      <c r="F20" s="110"/>
      <c r="G20" s="110"/>
      <c r="H20" s="110"/>
      <c r="I20" s="110"/>
      <c r="J20" s="110"/>
      <c r="K20" s="110"/>
      <c r="L20" s="110"/>
    </row>
    <row r="21" spans="3:16" ht="18" customHeight="1">
      <c r="C21" s="122" t="s">
        <v>22</v>
      </c>
      <c r="D21" s="123"/>
      <c r="E21" s="123"/>
      <c r="F21" s="110"/>
      <c r="G21" s="260">
        <f>Posture!C4</f>
        <v>0</v>
      </c>
      <c r="H21" s="260"/>
      <c r="I21" s="260"/>
      <c r="J21" s="260"/>
      <c r="K21" s="260"/>
      <c r="L21" s="260"/>
    </row>
    <row r="22" spans="3:16" ht="26.1" customHeight="1">
      <c r="C22" s="124"/>
      <c r="D22" s="124"/>
      <c r="E22" s="110"/>
      <c r="F22" s="110"/>
      <c r="G22" s="260"/>
      <c r="H22" s="260"/>
      <c r="I22" s="260"/>
      <c r="J22" s="260"/>
      <c r="K22" s="260"/>
      <c r="L22" s="260"/>
    </row>
    <row r="23" spans="3:16" ht="18" customHeight="1" thickBot="1">
      <c r="C23" s="110"/>
      <c r="D23" s="110"/>
      <c r="E23" s="110"/>
      <c r="F23" s="120"/>
      <c r="G23" s="125"/>
      <c r="H23" s="125"/>
      <c r="I23" s="125"/>
      <c r="J23" s="125"/>
      <c r="K23" s="125"/>
      <c r="L23" s="125"/>
      <c r="N23" s="126"/>
      <c r="O23" s="126" t="s">
        <v>23</v>
      </c>
      <c r="P23" s="126"/>
    </row>
    <row r="24" spans="3:16" ht="18" customHeight="1">
      <c r="C24" s="279" t="s">
        <v>24</v>
      </c>
      <c r="D24" s="279"/>
      <c r="E24" s="279"/>
      <c r="F24" s="127" t="str">
        <f>IF(AND(COUNTIF(F26:F42, "=Réussi") &gt;= 3, F47="AUCUN"),"Réussi","Echoué")</f>
        <v>Réussi</v>
      </c>
      <c r="G24" s="125"/>
      <c r="H24" s="125"/>
      <c r="I24" s="125"/>
      <c r="J24" s="125"/>
      <c r="K24" s="125"/>
      <c r="L24" s="125"/>
      <c r="N24" s="126"/>
      <c r="O24" s="126">
        <v>3</v>
      </c>
      <c r="P24" s="126"/>
    </row>
    <row r="25" spans="3:16" ht="18" customHeight="1">
      <c r="C25" s="128"/>
      <c r="D25" s="128"/>
      <c r="E25" s="128"/>
      <c r="F25" s="129"/>
      <c r="G25" s="125"/>
      <c r="H25" s="125"/>
      <c r="I25" s="125"/>
      <c r="J25" s="125"/>
      <c r="K25" s="125"/>
      <c r="L25" s="125"/>
      <c r="N25" s="126"/>
      <c r="O25" s="126"/>
      <c r="P25" s="126"/>
    </row>
    <row r="26" spans="3:16" ht="60" customHeight="1">
      <c r="C26" s="130" t="str">
        <f>'A - Techniques JS'!C1</f>
        <v>A - Techniques JS</v>
      </c>
      <c r="D26" s="130"/>
      <c r="E26" s="229" t="str">
        <f>'A - Techniques JS'!C3</f>
        <v/>
      </c>
      <c r="F26" s="127" t="str">
        <f>IF(E26 &gt;= O26, "Réussi", "Echoué")</f>
        <v>Réussi</v>
      </c>
      <c r="G26" s="281" t="str">
        <f>IF(ISBLANK('A - Techniques JS'!E4),"",'A - Techniques JS'!E4)</f>
        <v/>
      </c>
      <c r="H26" s="282"/>
      <c r="I26" s="282"/>
      <c r="J26" s="282"/>
      <c r="K26" s="282"/>
      <c r="L26" s="282"/>
      <c r="N26" s="219"/>
      <c r="O26" s="218">
        <v>0.8</v>
      </c>
      <c r="P26" s="219"/>
    </row>
    <row r="27" spans="3:16" ht="30" customHeight="1">
      <c r="C27" s="128"/>
      <c r="D27" s="131" t="s">
        <v>25</v>
      </c>
      <c r="E27" s="230" t="str" cm="1">
        <f t="array" aca="1" ref="E27" ca="1">IFERROR(INDIRECT("'" &amp; $C$26 &amp; "'!" &amp; $O27)+M27,"")</f>
        <v/>
      </c>
      <c r="F27" s="129"/>
      <c r="G27" s="257" cm="1">
        <f t="array" aca="1" ref="G27" ca="1">INDIRECT("'" &amp; $C$26 &amp; "'!" &amp; $P27)</f>
        <v>0</v>
      </c>
      <c r="H27" s="257"/>
      <c r="I27" s="257"/>
      <c r="J27" s="257"/>
      <c r="K27" s="257"/>
      <c r="L27" s="257"/>
      <c r="N27" s="219">
        <f>MATCH(LEFT(D27,2)&amp;"*",'A - Techniques JS'!C:C,0)</f>
        <v>11</v>
      </c>
      <c r="O27" s="219" t="str">
        <f>_xlfn.CONCAT("J",$N27)</f>
        <v>J11</v>
      </c>
      <c r="P27" s="219" t="str">
        <f>_xlfn.CONCAT("K",$N27)</f>
        <v>K11</v>
      </c>
    </row>
    <row r="28" spans="3:16" ht="30" customHeight="1">
      <c r="C28" s="128"/>
      <c r="D28" s="131" t="s">
        <v>26</v>
      </c>
      <c r="E28" s="230" t="str" cm="1">
        <f t="array" aca="1" ref="E28" ca="1">IFERROR(INDIRECT("'" &amp; $C$26 &amp; "'!" &amp; $O28)+M28,"")</f>
        <v/>
      </c>
      <c r="F28" s="129"/>
      <c r="G28" s="257" cm="1">
        <f t="array" aca="1" ref="G28" ca="1">INDIRECT("'" &amp; $C$26 &amp; "'!" &amp; $P28)</f>
        <v>0</v>
      </c>
      <c r="H28" s="257"/>
      <c r="I28" s="257"/>
      <c r="J28" s="257"/>
      <c r="K28" s="257"/>
      <c r="L28" s="257"/>
      <c r="N28" s="219">
        <f>MATCH(LEFT(D28,2)&amp;"*",'A - Techniques JS'!C:C,0)</f>
        <v>35</v>
      </c>
      <c r="O28" s="219" t="str">
        <f t="shared" ref="O28:O33" si="0">_xlfn.CONCAT("J",$N28)</f>
        <v>J35</v>
      </c>
      <c r="P28" s="219" t="str">
        <f t="shared" ref="P28:P29" si="1">_xlfn.CONCAT("K",$N28)</f>
        <v>K35</v>
      </c>
    </row>
    <row r="29" spans="3:16" ht="30" customHeight="1">
      <c r="C29" s="128"/>
      <c r="D29" s="131" t="s">
        <v>27</v>
      </c>
      <c r="E29" s="230" t="str" cm="1">
        <f t="array" aca="1" ref="E29" ca="1">IFERROR(INDIRECT("'" &amp; $C$26 &amp; "'!" &amp; $O29)+M29,"")</f>
        <v/>
      </c>
      <c r="F29" s="129"/>
      <c r="G29" s="257" cm="1">
        <f t="array" aca="1" ref="G29" ca="1">INDIRECT("'" &amp; $C$26 &amp; "'!" &amp; $P29)</f>
        <v>0</v>
      </c>
      <c r="H29" s="257"/>
      <c r="I29" s="257"/>
      <c r="J29" s="257"/>
      <c r="K29" s="257"/>
      <c r="L29" s="257"/>
      <c r="N29" s="219">
        <f>MATCH(LEFT(D29,2)&amp;"*",'A - Techniques JS'!C:C,0)</f>
        <v>46</v>
      </c>
      <c r="O29" s="219" t="str">
        <f t="shared" si="0"/>
        <v>J46</v>
      </c>
      <c r="P29" s="219" t="str">
        <f t="shared" si="1"/>
        <v>K46</v>
      </c>
    </row>
    <row r="30" spans="3:16" ht="30" customHeight="1">
      <c r="C30" s="128"/>
      <c r="D30" s="131" t="s">
        <v>28</v>
      </c>
      <c r="E30" s="230" t="str" cm="1">
        <f t="array" aca="1" ref="E30" ca="1">IFERROR(INDIRECT("'" &amp; $C$26 &amp; "'!" &amp; $O30)+M30,"")</f>
        <v/>
      </c>
      <c r="F30" s="129"/>
      <c r="G30" s="257" cm="1">
        <f t="array" aca="1" ref="G30" ca="1">INDIRECT("'" &amp; $C$26 &amp; "'!" &amp; $P30)</f>
        <v>0</v>
      </c>
      <c r="H30" s="257"/>
      <c r="I30" s="257"/>
      <c r="J30" s="257"/>
      <c r="K30" s="257"/>
      <c r="L30" s="257"/>
      <c r="N30" s="219">
        <f>MATCH(LEFT(D30,2)&amp;"*",'A - Techniques JS'!C:C,0)</f>
        <v>68</v>
      </c>
      <c r="O30" s="219" t="str">
        <f t="shared" si="0"/>
        <v>J68</v>
      </c>
      <c r="P30" s="219" t="str">
        <f>_xlfn.CONCAT("K",$N30)</f>
        <v>K68</v>
      </c>
    </row>
    <row r="31" spans="3:16" ht="30" customHeight="1">
      <c r="C31" s="128"/>
      <c r="D31" s="131" t="s">
        <v>29</v>
      </c>
      <c r="E31" s="230" t="str" cm="1">
        <f t="array" aca="1" ref="E31" ca="1">IFERROR(INDIRECT("'" &amp; $C$26 &amp; "'!" &amp; $O31)+M31,"")</f>
        <v/>
      </c>
      <c r="F31" s="129"/>
      <c r="G31" s="257" cm="1">
        <f t="array" aca="1" ref="G31" ca="1">INDIRECT("'" &amp; $C$26 &amp; "'!" &amp; $P31)</f>
        <v>0</v>
      </c>
      <c r="H31" s="257"/>
      <c r="I31" s="257"/>
      <c r="J31" s="257"/>
      <c r="K31" s="257"/>
      <c r="L31" s="257"/>
      <c r="N31" s="219">
        <f>MATCH(LEFT(D31,2)&amp;"*",'A - Techniques JS'!C:C,0)</f>
        <v>92</v>
      </c>
      <c r="O31" s="219" t="str">
        <f t="shared" si="0"/>
        <v>J92</v>
      </c>
      <c r="P31" s="219" t="str">
        <f t="shared" ref="P31:P33" si="2">_xlfn.CONCAT("K",$N31)</f>
        <v>K92</v>
      </c>
    </row>
    <row r="32" spans="3:16" ht="30" customHeight="1">
      <c r="C32" s="128"/>
      <c r="D32" s="131" t="s">
        <v>30</v>
      </c>
      <c r="E32" s="230" t="str" cm="1">
        <f t="array" aca="1" ref="E32" ca="1">IFERROR(INDIRECT("'" &amp; $C$26 &amp; "'!" &amp; $O32)+M32,"")</f>
        <v/>
      </c>
      <c r="F32" s="129"/>
      <c r="G32" s="257" cm="1">
        <f t="array" aca="1" ref="G32" ca="1">INDIRECT("'" &amp; $C$26 &amp; "'!" &amp; $P32)</f>
        <v>0</v>
      </c>
      <c r="H32" s="257"/>
      <c r="I32" s="257"/>
      <c r="J32" s="257"/>
      <c r="K32" s="257"/>
      <c r="L32" s="257"/>
      <c r="N32" s="219">
        <f>MATCH(LEFT(D32,2)&amp;"*",'A - Techniques JS'!C:C,0)</f>
        <v>107</v>
      </c>
      <c r="O32" s="219" t="str">
        <f t="shared" si="0"/>
        <v>J107</v>
      </c>
      <c r="P32" s="219" t="str">
        <f t="shared" si="2"/>
        <v>K107</v>
      </c>
    </row>
    <row r="33" spans="3:16" ht="30" customHeight="1">
      <c r="C33" s="128"/>
      <c r="D33" s="131" t="s">
        <v>31</v>
      </c>
      <c r="E33" s="231" t="str" cm="1">
        <f t="array" aca="1" ref="E33" ca="1">IFERROR(INDIRECT("'" &amp; $C$26 &amp; "'!" &amp; $O33)+M33,"")</f>
        <v/>
      </c>
      <c r="F33" s="129"/>
      <c r="G33" s="257" cm="1">
        <f t="array" aca="1" ref="G33" ca="1">INDIRECT("'" &amp; $C$26 &amp; "'!" &amp; $P33)</f>
        <v>0</v>
      </c>
      <c r="H33" s="257"/>
      <c r="I33" s="257"/>
      <c r="J33" s="257"/>
      <c r="K33" s="257"/>
      <c r="L33" s="257"/>
      <c r="N33" s="219">
        <f>MATCH(LEFT(D33,2)&amp;"*",'A - Techniques JS'!C:C,0)</f>
        <v>121</v>
      </c>
      <c r="O33" s="219" t="str">
        <f t="shared" si="0"/>
        <v>J121</v>
      </c>
      <c r="P33" s="219" t="str">
        <f t="shared" si="2"/>
        <v>K121</v>
      </c>
    </row>
    <row r="34" spans="3:16" ht="15" customHeight="1">
      <c r="C34" s="128"/>
      <c r="D34" s="128"/>
      <c r="E34" s="129"/>
      <c r="F34" s="129"/>
      <c r="G34" s="132"/>
      <c r="H34" s="132"/>
      <c r="I34" s="132"/>
      <c r="J34" s="132"/>
      <c r="K34" s="132"/>
      <c r="L34" s="132"/>
      <c r="N34" s="219"/>
      <c r="O34" s="219"/>
      <c r="P34" s="219"/>
    </row>
    <row r="35" spans="3:16" ht="60" customHeight="1">
      <c r="C35" s="133" t="str">
        <f>'B - Organisation'!C1</f>
        <v>B - Organisation</v>
      </c>
      <c r="D35" s="133"/>
      <c r="E35" s="229" t="str">
        <f>'B - Organisation'!C3</f>
        <v/>
      </c>
      <c r="F35" s="134" t="str">
        <f>IF(E35 &gt;= O35, "Réussi", "Echoué")</f>
        <v>Réussi</v>
      </c>
      <c r="G35" s="254" t="str">
        <f>IF(ISBLANK('B - Organisation'!E4),"",'B - Organisation'!E4)</f>
        <v/>
      </c>
      <c r="H35" s="255"/>
      <c r="I35" s="255"/>
      <c r="J35" s="255"/>
      <c r="K35" s="255"/>
      <c r="L35" s="255"/>
      <c r="N35" s="219"/>
      <c r="O35" s="218">
        <v>0.8</v>
      </c>
      <c r="P35" s="219"/>
    </row>
    <row r="36" spans="3:16" ht="30" customHeight="1">
      <c r="C36" s="128"/>
      <c r="D36" s="131" t="s">
        <v>32</v>
      </c>
      <c r="E36" s="230" t="str" cm="1">
        <f t="array" aca="1" ref="E36" ca="1">IFERROR(INDIRECT("'" &amp; $C$35 &amp; "'!" &amp; $O36)+M36,"")</f>
        <v/>
      </c>
      <c r="F36" s="129"/>
      <c r="G36" s="256" cm="1">
        <f t="array" aca="1" ref="G36" ca="1">INDIRECT("'" &amp; $C$35 &amp; "'!" &amp; $P36)</f>
        <v>0</v>
      </c>
      <c r="H36" s="256"/>
      <c r="I36" s="256"/>
      <c r="J36" s="256"/>
      <c r="K36" s="256"/>
      <c r="L36" s="256"/>
      <c r="N36" s="219">
        <f>MATCH(LEFT(D36,2)&amp;"*",'B - Organisation'!C:C,0)</f>
        <v>11</v>
      </c>
      <c r="O36" s="219" t="str">
        <f>_xlfn.CONCAT("J",$N36)</f>
        <v>J11</v>
      </c>
      <c r="P36" s="219" t="str">
        <f>_xlfn.CONCAT("K",$N36)</f>
        <v>K11</v>
      </c>
    </row>
    <row r="37" spans="3:16" ht="30" customHeight="1">
      <c r="C37" s="128"/>
      <c r="D37" s="131" t="s">
        <v>33</v>
      </c>
      <c r="E37" s="230" t="str" cm="1">
        <f t="array" aca="1" ref="E37" ca="1">IFERROR(INDIRECT("'" &amp; $C$35 &amp; "'!" &amp; $O37)+M37,"")</f>
        <v/>
      </c>
      <c r="F37" s="129"/>
      <c r="G37" s="256" cm="1">
        <f t="array" aca="1" ref="G37" ca="1">INDIRECT("'" &amp; $C$35 &amp; "'!" &amp; $P37)</f>
        <v>0</v>
      </c>
      <c r="H37" s="256"/>
      <c r="I37" s="256"/>
      <c r="J37" s="256"/>
      <c r="K37" s="256"/>
      <c r="L37" s="256"/>
      <c r="N37" s="219">
        <f>MATCH(LEFT(D37,2)&amp;"*",'B - Organisation'!C:C,0)</f>
        <v>23</v>
      </c>
      <c r="O37" s="219" t="str">
        <f t="shared" ref="O37:O40" si="3">_xlfn.CONCAT("J",$N37)</f>
        <v>J23</v>
      </c>
      <c r="P37" s="219" t="str">
        <f t="shared" ref="P37:P40" si="4">_xlfn.CONCAT("K",$N37)</f>
        <v>K23</v>
      </c>
    </row>
    <row r="38" spans="3:16" ht="30" customHeight="1">
      <c r="C38" s="128"/>
      <c r="D38" s="131" t="s">
        <v>34</v>
      </c>
      <c r="E38" s="230" t="str" cm="1">
        <f t="array" aca="1" ref="E38" ca="1">IFERROR(INDIRECT("'" &amp; $C$35 &amp; "'!" &amp; $O38)+M38,"")</f>
        <v/>
      </c>
      <c r="F38" s="129"/>
      <c r="G38" s="256" cm="1">
        <f t="array" aca="1" ref="G38" ca="1">INDIRECT("'" &amp; $C$35 &amp; "'!" &amp; $P38)</f>
        <v>0</v>
      </c>
      <c r="H38" s="256"/>
      <c r="I38" s="256"/>
      <c r="J38" s="256"/>
      <c r="K38" s="256"/>
      <c r="L38" s="256"/>
      <c r="N38" s="219">
        <f>MATCH(LEFT(D38,2)&amp;"*",'B - Organisation'!C:C,0)</f>
        <v>52</v>
      </c>
      <c r="O38" s="219" t="str">
        <f t="shared" si="3"/>
        <v>J52</v>
      </c>
      <c r="P38" s="219" t="str">
        <f t="shared" si="4"/>
        <v>K52</v>
      </c>
    </row>
    <row r="39" spans="3:16" ht="30" customHeight="1">
      <c r="C39" s="128"/>
      <c r="D39" s="131" t="s">
        <v>35</v>
      </c>
      <c r="E39" s="230" t="str" cm="1">
        <f t="array" aca="1" ref="E39" ca="1">IFERROR(INDIRECT("'" &amp; $C$35 &amp; "'!" &amp; $O39)+M39,"")</f>
        <v/>
      </c>
      <c r="F39" s="129"/>
      <c r="G39" s="232"/>
      <c r="H39" s="232"/>
      <c r="I39" s="232"/>
      <c r="J39" s="232"/>
      <c r="K39" s="232"/>
      <c r="L39" s="232"/>
      <c r="N39" s="219">
        <v>81</v>
      </c>
      <c r="O39" s="219" t="str">
        <f t="shared" si="3"/>
        <v>J81</v>
      </c>
      <c r="P39" s="219" t="str">
        <f t="shared" si="4"/>
        <v>K81</v>
      </c>
    </row>
    <row r="40" spans="3:16" ht="30" customHeight="1">
      <c r="C40" s="128"/>
      <c r="D40" s="131" t="s">
        <v>36</v>
      </c>
      <c r="E40" s="231" t="str" cm="1">
        <f t="array" aca="1" ref="E40" ca="1">IFERROR(INDIRECT("'" &amp; $C$35 &amp; "'!" &amp; $O40)+M40,"")</f>
        <v/>
      </c>
      <c r="F40" s="129"/>
      <c r="G40" s="256" cm="1">
        <f t="array" aca="1" ref="G40" ca="1">INDIRECT("'" &amp; $C$35 &amp; "'!" &amp; $P40)</f>
        <v>0</v>
      </c>
      <c r="H40" s="256"/>
      <c r="I40" s="256"/>
      <c r="J40" s="256"/>
      <c r="K40" s="256"/>
      <c r="L40" s="256"/>
      <c r="N40" s="219">
        <v>101</v>
      </c>
      <c r="O40" s="219" t="str">
        <f t="shared" si="3"/>
        <v>J101</v>
      </c>
      <c r="P40" s="219" t="str">
        <f t="shared" si="4"/>
        <v>K101</v>
      </c>
    </row>
    <row r="41" spans="3:16" ht="15" customHeight="1">
      <c r="C41" s="128"/>
      <c r="D41" s="128"/>
      <c r="E41" s="129"/>
      <c r="F41" s="129"/>
      <c r="G41" s="132"/>
      <c r="H41" s="132"/>
      <c r="I41" s="132"/>
      <c r="J41" s="132"/>
      <c r="K41" s="132"/>
      <c r="L41" s="132"/>
      <c r="N41" s="219"/>
      <c r="O41" s="219"/>
      <c r="P41" s="219"/>
    </row>
    <row r="42" spans="3:16" ht="60" customHeight="1" thickBot="1">
      <c r="C42" s="135" t="str">
        <f>'C - Scoutisme'!C1</f>
        <v>C - Scoutisme</v>
      </c>
      <c r="D42" s="135"/>
      <c r="E42" s="234" t="str">
        <f>'C - Scoutisme'!C3</f>
        <v/>
      </c>
      <c r="F42" s="127" t="str">
        <f>IF(E42 &gt;= O42, "Réussi", "Echoué")</f>
        <v>Réussi</v>
      </c>
      <c r="G42" s="258" t="str">
        <f>IF(ISBLANK('C - Scoutisme'!E4),"",'C - Scoutisme'!E4)</f>
        <v/>
      </c>
      <c r="H42" s="259"/>
      <c r="I42" s="259"/>
      <c r="J42" s="259"/>
      <c r="K42" s="259"/>
      <c r="L42" s="259"/>
      <c r="N42" s="219"/>
      <c r="O42" s="218">
        <v>0.8</v>
      </c>
      <c r="P42" s="219"/>
    </row>
    <row r="43" spans="3:16" ht="30" customHeight="1">
      <c r="C43" s="128"/>
      <c r="D43" s="131" t="s">
        <v>37</v>
      </c>
      <c r="E43" s="235" t="str" cm="1">
        <f t="array" aca="1" ref="E43" ca="1">IFERROR(INDIRECT("'" &amp; $C$42 &amp; "'!" &amp; $O43)+M43,"")</f>
        <v/>
      </c>
      <c r="F43" s="129"/>
      <c r="G43" s="253" cm="1">
        <f t="array" aca="1" ref="G43" ca="1">INDIRECT("'" &amp; $C$42 &amp; "'!" &amp; $P43)</f>
        <v>0</v>
      </c>
      <c r="H43" s="253"/>
      <c r="I43" s="253"/>
      <c r="J43" s="253"/>
      <c r="K43" s="253"/>
      <c r="L43" s="253"/>
      <c r="N43" s="219">
        <f>MATCH(LEFT(D43,2)&amp;"*",'C - Scoutisme'!C:C,0)</f>
        <v>11</v>
      </c>
      <c r="O43" s="219" t="str">
        <f>_xlfn.CONCAT("J",$N43)</f>
        <v>J11</v>
      </c>
      <c r="P43" s="219" t="str">
        <f>_xlfn.CONCAT("K",$N43)</f>
        <v>K11</v>
      </c>
    </row>
    <row r="44" spans="3:16" ht="30" customHeight="1">
      <c r="C44" s="128"/>
      <c r="D44" s="131" t="s">
        <v>38</v>
      </c>
      <c r="E44" s="235" t="str" cm="1">
        <f t="array" aca="1" ref="E44" ca="1">IFERROR(INDIRECT("'" &amp; $C$42 &amp; "'!" &amp; $O44)+M44,"")</f>
        <v/>
      </c>
      <c r="F44" s="129"/>
      <c r="G44" s="253" cm="1">
        <f t="array" aca="1" ref="G44" ca="1">INDIRECT("'" &amp; $C$42 &amp; "'!" &amp; $P44)</f>
        <v>0</v>
      </c>
      <c r="H44" s="253"/>
      <c r="I44" s="253"/>
      <c r="J44" s="253"/>
      <c r="K44" s="253"/>
      <c r="L44" s="253"/>
      <c r="N44" s="219">
        <f>MATCH(LEFT(D44,2)&amp;"*",'C - Scoutisme'!C:C,0)</f>
        <v>20</v>
      </c>
      <c r="O44" s="219" t="str">
        <f>_xlfn.CONCAT("J",$N44)</f>
        <v>J20</v>
      </c>
      <c r="P44" s="219" t="str">
        <f>_xlfn.CONCAT("K",$N44)</f>
        <v>K20</v>
      </c>
    </row>
    <row r="45" spans="3:16" ht="30" customHeight="1">
      <c r="C45" s="128"/>
      <c r="D45" s="131" t="s">
        <v>39</v>
      </c>
      <c r="E45" s="237" t="str" cm="1">
        <f t="array" aca="1" ref="E45" ca="1">IFERROR(INDIRECT("'" &amp; $C$42 &amp; "'!" &amp; $O45)+M45,"")</f>
        <v/>
      </c>
      <c r="F45" s="129"/>
      <c r="G45" s="253" cm="1">
        <f t="array" aca="1" ref="G45" ca="1">INDIRECT("'" &amp; $C$42 &amp; "'!" &amp; $P45)</f>
        <v>0</v>
      </c>
      <c r="H45" s="253"/>
      <c r="I45" s="253"/>
      <c r="J45" s="253"/>
      <c r="K45" s="253"/>
      <c r="L45" s="253"/>
      <c r="N45" s="219">
        <f>MATCH(LEFT(D45,2)&amp;"*",'C - Scoutisme'!C:C,0)</f>
        <v>43</v>
      </c>
      <c r="O45" s="219" t="str">
        <f>_xlfn.CONCAT("J",$N45)</f>
        <v>J43</v>
      </c>
      <c r="P45" s="219" t="str">
        <f>_xlfn.CONCAT("K",$N45)</f>
        <v>K43</v>
      </c>
    </row>
    <row r="46" spans="3:16" ht="18" customHeight="1">
      <c r="C46" s="128"/>
      <c r="D46" s="131"/>
      <c r="E46" s="129"/>
      <c r="F46" s="129"/>
      <c r="G46" s="125"/>
      <c r="H46" s="125"/>
      <c r="I46" s="125"/>
      <c r="J46" s="125"/>
      <c r="K46" s="125"/>
      <c r="L46" s="125"/>
      <c r="N46" s="126"/>
      <c r="O46" s="126"/>
      <c r="P46" s="126"/>
    </row>
    <row r="47" spans="3:16" ht="18" customHeight="1" thickBot="1">
      <c r="C47" s="280" t="s">
        <v>40</v>
      </c>
      <c r="D47" s="280"/>
      <c r="E47" s="280"/>
      <c r="F47" s="127" t="str">
        <f>IF(COUNTIF('Critères éliminatoires'!D9:D26, "OUI")&gt;0, "OUI", "AUCUN")</f>
        <v>AUCUN</v>
      </c>
      <c r="G47" s="136"/>
      <c r="H47" s="136"/>
      <c r="I47" s="136"/>
      <c r="J47" s="136"/>
      <c r="K47" s="136"/>
      <c r="L47" s="136"/>
      <c r="N47" s="126"/>
      <c r="O47" s="126"/>
      <c r="P47" s="126"/>
    </row>
    <row r="48" spans="3:16" ht="18" customHeight="1">
      <c r="C48" s="283">
        <f>'Critères éliminatoires'!C4</f>
        <v>0</v>
      </c>
      <c r="D48" s="283"/>
      <c r="E48" s="283"/>
      <c r="F48" s="283"/>
      <c r="G48" s="283"/>
      <c r="H48" s="283"/>
      <c r="I48" s="283"/>
      <c r="J48" s="283"/>
      <c r="K48" s="283"/>
      <c r="L48" s="283"/>
    </row>
    <row r="49" spans="3:12" ht="18" customHeight="1">
      <c r="C49" s="128"/>
      <c r="D49" s="128"/>
      <c r="E49" s="128"/>
      <c r="F49" s="137"/>
      <c r="G49" s="110"/>
      <c r="H49" s="110"/>
      <c r="I49" s="110"/>
      <c r="J49" s="110"/>
      <c r="K49" s="110"/>
      <c r="L49" s="110"/>
    </row>
    <row r="50" spans="3:12" ht="18" customHeight="1">
      <c r="C50" s="138" t="s">
        <v>41</v>
      </c>
      <c r="D50" s="139"/>
      <c r="E50" s="139"/>
      <c r="F50" s="140" t="s">
        <v>42</v>
      </c>
      <c r="G50" s="141"/>
      <c r="H50" s="141"/>
      <c r="I50" s="141"/>
      <c r="J50" s="141"/>
      <c r="K50" s="141"/>
      <c r="L50" s="141"/>
    </row>
    <row r="51" spans="3:12" ht="18" customHeight="1">
      <c r="C51" s="276" t="s">
        <v>43</v>
      </c>
      <c r="D51" s="276"/>
      <c r="E51" s="277"/>
      <c r="F51" s="143" t="s">
        <v>44</v>
      </c>
      <c r="G51" s="144"/>
      <c r="H51" s="144"/>
      <c r="I51" s="144"/>
      <c r="J51" s="144"/>
      <c r="K51" s="144"/>
      <c r="L51" s="144"/>
    </row>
    <row r="52" spans="3:12" ht="77.25" customHeight="1">
      <c r="C52" s="276"/>
      <c r="D52" s="276"/>
      <c r="E52" s="277"/>
      <c r="F52" s="145" t="s">
        <v>45</v>
      </c>
      <c r="G52" s="278"/>
      <c r="H52" s="278"/>
      <c r="I52" s="278"/>
      <c r="J52" s="278"/>
      <c r="K52" s="278"/>
      <c r="L52" s="278"/>
    </row>
    <row r="53" spans="3:12" ht="18" customHeight="1"/>
    <row r="54" spans="3:12" ht="18" customHeight="1"/>
  </sheetData>
  <mergeCells count="37">
    <mergeCell ref="C51:E52"/>
    <mergeCell ref="G52:L52"/>
    <mergeCell ref="C24:E24"/>
    <mergeCell ref="C47:E47"/>
    <mergeCell ref="G26:L26"/>
    <mergeCell ref="C48:L48"/>
    <mergeCell ref="G27:L27"/>
    <mergeCell ref="G28:L28"/>
    <mergeCell ref="G29:L29"/>
    <mergeCell ref="G44:L44"/>
    <mergeCell ref="G45:L45"/>
    <mergeCell ref="H13:L13"/>
    <mergeCell ref="H14:L14"/>
    <mergeCell ref="H15:L15"/>
    <mergeCell ref="H3:L3"/>
    <mergeCell ref="H4:L4"/>
    <mergeCell ref="H5:L5"/>
    <mergeCell ref="C8:L10"/>
    <mergeCell ref="D3:E3"/>
    <mergeCell ref="D4:E4"/>
    <mergeCell ref="D5:E5"/>
    <mergeCell ref="C13:G13"/>
    <mergeCell ref="C14:G14"/>
    <mergeCell ref="C15:G15"/>
    <mergeCell ref="C12:G12"/>
    <mergeCell ref="G43:L43"/>
    <mergeCell ref="G35:L35"/>
    <mergeCell ref="G36:L36"/>
    <mergeCell ref="G37:L37"/>
    <mergeCell ref="G38:L38"/>
    <mergeCell ref="G40:L40"/>
    <mergeCell ref="G30:L30"/>
    <mergeCell ref="G31:L31"/>
    <mergeCell ref="G32:L32"/>
    <mergeCell ref="G33:L33"/>
    <mergeCell ref="G42:L42"/>
    <mergeCell ref="G21:L22"/>
  </mergeCells>
  <conditionalFormatting sqref="C48:L48">
    <cfRule type="cellIs" dxfId="72" priority="23" operator="equal">
      <formula>0</formula>
    </cfRule>
  </conditionalFormatting>
  <conditionalFormatting sqref="E26:E33 E42:E45 E35:E40">
    <cfRule type="cellIs" dxfId="71" priority="4" operator="lessThan">
      <formula>0.8</formula>
    </cfRule>
  </conditionalFormatting>
  <conditionalFormatting sqref="F24:F46">
    <cfRule type="cellIs" dxfId="70" priority="6" operator="equal">
      <formula>"Echoué"</formula>
    </cfRule>
    <cfRule type="cellIs" dxfId="69" priority="7" operator="equal">
      <formula>"Réussi"</formula>
    </cfRule>
  </conditionalFormatting>
  <conditionalFormatting sqref="F47">
    <cfRule type="cellIs" dxfId="68" priority="30" operator="notEqual">
      <formula>"AUCUN"</formula>
    </cfRule>
    <cfRule type="cellIs" dxfId="67" priority="31" operator="equal">
      <formula>"AUCUN"</formula>
    </cfRule>
  </conditionalFormatting>
  <conditionalFormatting sqref="F50">
    <cfRule type="cellIs" dxfId="66" priority="28" operator="equal">
      <formula>"AUCUN"</formula>
    </cfRule>
    <cfRule type="cellIs" dxfId="65" priority="29" operator="equal">
      <formula>"UTILISÉ"</formula>
    </cfRule>
  </conditionalFormatting>
  <conditionalFormatting sqref="G27:G33">
    <cfRule type="cellIs" dxfId="64" priority="15" operator="equal">
      <formula>0</formula>
    </cfRule>
  </conditionalFormatting>
  <conditionalFormatting sqref="G36:G40">
    <cfRule type="cellIs" dxfId="63" priority="13" operator="equal">
      <formula>0</formula>
    </cfRule>
  </conditionalFormatting>
  <conditionalFormatting sqref="G43:G45">
    <cfRule type="cellIs" dxfId="62" priority="14" operator="equal">
      <formula>0</formula>
    </cfRule>
  </conditionalFormatting>
  <conditionalFormatting sqref="G21:L22">
    <cfRule type="cellIs" dxfId="61" priority="24" operator="equal">
      <formula>0</formula>
    </cfRule>
  </conditionalFormatting>
  <conditionalFormatting sqref="E26:E33 E42:E45 E35:E40">
    <cfRule type="cellIs" dxfId="60" priority="1" operator="greaterThan">
      <formula>1.1</formula>
    </cfRule>
  </conditionalFormatting>
  <conditionalFormatting sqref="E26:E33 E42:E45 E35:E40">
    <cfRule type="cellIs" dxfId="59" priority="2" operator="between">
      <formula>0.9</formula>
      <formula>1.1</formula>
    </cfRule>
  </conditionalFormatting>
  <conditionalFormatting sqref="E26:E33 E42:E45 E35:E40">
    <cfRule type="cellIs" dxfId="58" priority="3" operator="between">
      <formula>0.8</formula>
      <formula>0.9</formula>
    </cfRule>
  </conditionalFormatting>
  <printOptions horizontalCentered="1" verticalCentered="1"/>
  <pageMargins left="0.25" right="0.25" top="0.75" bottom="0.75" header="0.3" footer="0.3"/>
  <pageSetup paperSize="9" scale="55"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E69EFF1-BF29-4EE2-A310-ACCC09D689EA}">
          <x14:formula1>
            <xm:f>Listes!$A$6:$A$7</xm:f>
          </x14:formula1>
          <xm:sqref>F50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9039-5ADC-4951-997B-4509DC00363B}">
  <sheetPr>
    <tabColor rgb="FFD9E1F2"/>
    <pageSetUpPr fitToPage="1"/>
  </sheetPr>
  <dimension ref="A1:K109"/>
  <sheetViews>
    <sheetView topLeftCell="A14" zoomScale="48" zoomScaleNormal="100" zoomScaleSheetLayoutView="70" workbookViewId="0">
      <selection activeCell="L13" sqref="L13"/>
    </sheetView>
  </sheetViews>
  <sheetFormatPr defaultColWidth="9.140625" defaultRowHeight="14.45"/>
  <cols>
    <col min="1" max="1" width="3.5703125" style="150" customWidth="1"/>
    <col min="2" max="2" width="3.5703125" style="53" customWidth="1"/>
    <col min="3" max="3" width="53.7109375" style="53" customWidth="1"/>
    <col min="4" max="4" width="3.5703125" style="53" customWidth="1"/>
    <col min="5" max="5" width="87.42578125" style="53" customWidth="1"/>
    <col min="6" max="6" width="3.5703125" style="53" customWidth="1"/>
    <col min="7" max="7" width="17" style="53" customWidth="1"/>
    <col min="8" max="8" width="3.5703125" style="53" customWidth="1"/>
    <col min="9" max="9" width="6.28515625" style="53" customWidth="1"/>
    <col min="10" max="10" width="3.42578125" style="53" customWidth="1"/>
    <col min="11" max="16384" width="9.140625" style="53"/>
  </cols>
  <sheetData>
    <row r="1" spans="1:11" s="49" customFormat="1" ht="26.1" customHeight="1">
      <c r="A1" s="146"/>
      <c r="B1" s="146"/>
      <c r="C1" s="147" t="s">
        <v>46</v>
      </c>
      <c r="D1" s="146"/>
      <c r="E1" s="146"/>
      <c r="F1" s="146"/>
      <c r="G1" s="148" t="str">
        <f>_xlfn.CONCAT(Synthèse!C1, " / Cours ", Synthèse!H3)</f>
        <v>Kangourou / Toto Tutu / Cours RU - Chef de camp JS SdC/T</v>
      </c>
      <c r="H1" s="148"/>
      <c r="I1" s="149"/>
      <c r="J1" s="149"/>
    </row>
    <row r="3" spans="1:11">
      <c r="C3" s="109" t="s">
        <v>47</v>
      </c>
      <c r="D3" s="151"/>
      <c r="E3" s="61"/>
      <c r="F3" s="152"/>
      <c r="G3" s="62" t="s">
        <v>48</v>
      </c>
    </row>
    <row r="4" spans="1:11">
      <c r="C4" s="284"/>
      <c r="D4" s="285"/>
      <c r="E4" s="285"/>
      <c r="F4" s="285"/>
      <c r="G4" s="286"/>
    </row>
    <row r="5" spans="1:11">
      <c r="C5" s="287"/>
      <c r="D5" s="288"/>
      <c r="E5" s="288"/>
      <c r="F5" s="288"/>
      <c r="G5" s="289"/>
    </row>
    <row r="6" spans="1:11">
      <c r="C6" s="66"/>
      <c r="D6" s="66"/>
      <c r="E6" s="66"/>
      <c r="F6" s="66"/>
      <c r="G6" s="66"/>
    </row>
    <row r="7" spans="1:11" s="68" customFormat="1" ht="18" customHeight="1">
      <c r="A7" s="153"/>
      <c r="C7" s="154" t="s">
        <v>49</v>
      </c>
      <c r="D7" s="155"/>
      <c r="E7" s="155" t="s">
        <v>50</v>
      </c>
      <c r="F7" s="155"/>
      <c r="G7" s="76" t="s">
        <v>51</v>
      </c>
      <c r="I7" s="290" t="s">
        <v>52</v>
      </c>
      <c r="K7" s="53"/>
    </row>
    <row r="8" spans="1:11" s="68" customFormat="1" ht="18" customHeight="1">
      <c r="A8" s="153"/>
      <c r="C8" s="156" t="s">
        <v>53</v>
      </c>
      <c r="E8" s="221"/>
      <c r="F8" s="157"/>
      <c r="G8" s="223"/>
      <c r="I8" s="291"/>
      <c r="K8" s="53"/>
    </row>
    <row r="9" spans="1:11" s="68" customFormat="1" ht="18" customHeight="1">
      <c r="A9" s="153"/>
      <c r="C9" s="158" t="s">
        <v>54</v>
      </c>
      <c r="E9" s="221"/>
      <c r="F9" s="157"/>
      <c r="G9" s="223"/>
      <c r="I9" s="291"/>
      <c r="K9" s="159"/>
    </row>
    <row r="10" spans="1:11" s="68" customFormat="1" ht="18" customHeight="1">
      <c r="A10" s="153"/>
      <c r="C10" s="158" t="s">
        <v>55</v>
      </c>
      <c r="E10" s="221"/>
      <c r="F10" s="157"/>
      <c r="G10" s="223"/>
      <c r="I10" s="291"/>
      <c r="K10" s="53"/>
    </row>
    <row r="11" spans="1:11" s="68" customFormat="1" ht="18" customHeight="1">
      <c r="A11" s="153"/>
      <c r="C11" s="158" t="s">
        <v>56</v>
      </c>
      <c r="E11" s="221"/>
      <c r="F11" s="157"/>
      <c r="G11" s="223"/>
      <c r="I11" s="291"/>
      <c r="K11" s="53"/>
    </row>
    <row r="12" spans="1:11" s="68" customFormat="1">
      <c r="A12" s="153"/>
      <c r="C12" s="160" t="s">
        <v>57</v>
      </c>
      <c r="D12" s="161"/>
      <c r="E12" s="222"/>
      <c r="F12" s="162"/>
      <c r="G12" s="224"/>
      <c r="I12" s="291"/>
      <c r="K12" s="159"/>
    </row>
    <row r="13" spans="1:11" s="68" customFormat="1" ht="18" customHeight="1">
      <c r="A13" s="153"/>
      <c r="C13" s="142"/>
      <c r="I13" s="291"/>
      <c r="K13" s="53"/>
    </row>
    <row r="14" spans="1:11" s="68" customFormat="1" ht="18" customHeight="1">
      <c r="A14" s="153"/>
      <c r="C14" s="154" t="s">
        <v>58</v>
      </c>
      <c r="D14" s="155"/>
      <c r="E14" s="155" t="s">
        <v>50</v>
      </c>
      <c r="F14" s="155"/>
      <c r="G14" s="76" t="s">
        <v>51</v>
      </c>
      <c r="I14" s="291"/>
      <c r="K14" s="53"/>
    </row>
    <row r="15" spans="1:11" s="68" customFormat="1" ht="30" customHeight="1">
      <c r="A15" s="153"/>
      <c r="C15" s="156" t="s">
        <v>59</v>
      </c>
      <c r="E15" s="221"/>
      <c r="F15" s="157"/>
      <c r="G15" s="223"/>
      <c r="I15" s="291"/>
      <c r="K15" s="53"/>
    </row>
    <row r="16" spans="1:11" s="68" customFormat="1" ht="30" customHeight="1">
      <c r="A16" s="153"/>
      <c r="C16" s="158" t="s">
        <v>60</v>
      </c>
      <c r="E16" s="221"/>
      <c r="F16" s="157"/>
      <c r="G16" s="223"/>
      <c r="I16" s="291"/>
      <c r="K16" s="159"/>
    </row>
    <row r="17" spans="1:11" s="68" customFormat="1" ht="18" customHeight="1">
      <c r="A17" s="153"/>
      <c r="C17" s="158" t="s">
        <v>61</v>
      </c>
      <c r="E17" s="221"/>
      <c r="F17" s="157"/>
      <c r="G17" s="223"/>
      <c r="I17" s="291"/>
      <c r="K17" s="53"/>
    </row>
    <row r="18" spans="1:11" s="68" customFormat="1" ht="18" customHeight="1">
      <c r="A18" s="153"/>
      <c r="C18" s="158" t="s">
        <v>62</v>
      </c>
      <c r="E18" s="221"/>
      <c r="F18" s="157"/>
      <c r="G18" s="223"/>
      <c r="I18" s="291"/>
      <c r="K18" s="53"/>
    </row>
    <row r="19" spans="1:11" s="68" customFormat="1" ht="26.1">
      <c r="A19" s="153"/>
      <c r="C19" s="160" t="s">
        <v>63</v>
      </c>
      <c r="D19" s="161"/>
      <c r="E19" s="222"/>
      <c r="F19" s="162"/>
      <c r="G19" s="224"/>
      <c r="I19" s="291"/>
      <c r="K19" s="159"/>
    </row>
    <row r="20" spans="1:11" s="68" customFormat="1" ht="18" customHeight="1">
      <c r="A20" s="153"/>
      <c r="C20" s="142"/>
      <c r="E20" s="163"/>
      <c r="I20" s="291"/>
      <c r="K20" s="53"/>
    </row>
    <row r="21" spans="1:11" s="68" customFormat="1" ht="18" customHeight="1">
      <c r="A21" s="153"/>
      <c r="C21" s="154" t="s">
        <v>64</v>
      </c>
      <c r="D21" s="155"/>
      <c r="E21" s="155" t="s">
        <v>50</v>
      </c>
      <c r="F21" s="155"/>
      <c r="G21" s="76" t="s">
        <v>51</v>
      </c>
      <c r="I21" s="291"/>
      <c r="K21" s="159"/>
    </row>
    <row r="22" spans="1:11" s="68" customFormat="1" ht="18" customHeight="1">
      <c r="A22" s="153"/>
      <c r="C22" s="156" t="s">
        <v>65</v>
      </c>
      <c r="E22" s="221"/>
      <c r="F22" s="157"/>
      <c r="G22" s="223"/>
      <c r="I22" s="291"/>
      <c r="K22" s="53"/>
    </row>
    <row r="23" spans="1:11" s="68" customFormat="1">
      <c r="A23" s="153"/>
      <c r="C23" s="164" t="s">
        <v>66</v>
      </c>
      <c r="D23" s="161"/>
      <c r="E23" s="222"/>
      <c r="F23" s="162"/>
      <c r="G23" s="224"/>
      <c r="I23" s="292"/>
    </row>
    <row r="24" spans="1:11" s="68" customFormat="1" ht="18" customHeight="1">
      <c r="A24" s="153"/>
      <c r="C24" s="142"/>
      <c r="E24" s="157"/>
      <c r="F24" s="157"/>
      <c r="G24" s="157"/>
    </row>
    <row r="25" spans="1:11" s="68" customFormat="1" ht="18" customHeight="1">
      <c r="A25" s="153"/>
      <c r="C25" s="154" t="s">
        <v>67</v>
      </c>
      <c r="D25" s="155"/>
      <c r="E25" s="155" t="s">
        <v>50</v>
      </c>
      <c r="F25" s="155"/>
      <c r="G25" s="76" t="s">
        <v>51</v>
      </c>
      <c r="I25" s="290" t="s">
        <v>68</v>
      </c>
    </row>
    <row r="26" spans="1:11" s="68" customFormat="1" ht="26.1">
      <c r="A26" s="153"/>
      <c r="C26" s="156" t="s">
        <v>69</v>
      </c>
      <c r="E26" s="221"/>
      <c r="F26" s="157"/>
      <c r="G26" s="223"/>
      <c r="I26" s="291"/>
    </row>
    <row r="27" spans="1:11" s="68" customFormat="1" ht="18" customHeight="1">
      <c r="A27" s="153"/>
      <c r="C27" s="156" t="s">
        <v>70</v>
      </c>
      <c r="E27" s="221"/>
      <c r="F27" s="157"/>
      <c r="G27" s="223"/>
      <c r="I27" s="291"/>
    </row>
    <row r="28" spans="1:11" s="68" customFormat="1">
      <c r="A28" s="153"/>
      <c r="C28" s="164" t="s">
        <v>71</v>
      </c>
      <c r="D28" s="161"/>
      <c r="E28" s="222"/>
      <c r="F28" s="162"/>
      <c r="G28" s="224"/>
      <c r="I28" s="291"/>
    </row>
    <row r="29" spans="1:11" s="68" customFormat="1" ht="18" customHeight="1">
      <c r="A29" s="153"/>
      <c r="C29" s="142"/>
      <c r="E29" s="157"/>
      <c r="F29" s="157"/>
      <c r="G29" s="157"/>
      <c r="I29" s="291"/>
    </row>
    <row r="30" spans="1:11" s="68" customFormat="1" ht="18" customHeight="1">
      <c r="A30" s="153"/>
      <c r="C30" s="154" t="s">
        <v>72</v>
      </c>
      <c r="D30" s="155"/>
      <c r="E30" s="155" t="s">
        <v>50</v>
      </c>
      <c r="F30" s="155"/>
      <c r="G30" s="76" t="s">
        <v>51</v>
      </c>
      <c r="I30" s="291"/>
    </row>
    <row r="31" spans="1:11" s="68" customFormat="1" ht="18" customHeight="1">
      <c r="A31" s="153"/>
      <c r="C31" s="156" t="s">
        <v>73</v>
      </c>
      <c r="E31" s="221"/>
      <c r="F31" s="157"/>
      <c r="G31" s="223"/>
      <c r="I31" s="291"/>
    </row>
    <row r="32" spans="1:11" s="68" customFormat="1" ht="18" customHeight="1">
      <c r="A32" s="153"/>
      <c r="C32" s="156" t="s">
        <v>74</v>
      </c>
      <c r="E32" s="221"/>
      <c r="F32" s="157"/>
      <c r="G32" s="223"/>
      <c r="I32" s="291"/>
    </row>
    <row r="33" spans="1:9" s="68" customFormat="1" ht="18" customHeight="1">
      <c r="A33" s="153"/>
      <c r="C33" s="156" t="s">
        <v>75</v>
      </c>
      <c r="E33" s="221"/>
      <c r="F33" s="157"/>
      <c r="G33" s="223"/>
      <c r="I33" s="291"/>
    </row>
    <row r="34" spans="1:9" s="68" customFormat="1" ht="18" customHeight="1">
      <c r="A34" s="153"/>
      <c r="C34" s="156" t="s">
        <v>76</v>
      </c>
      <c r="E34" s="221"/>
      <c r="F34" s="157"/>
      <c r="G34" s="223"/>
      <c r="I34" s="291"/>
    </row>
    <row r="35" spans="1:9" s="68" customFormat="1" ht="18" customHeight="1">
      <c r="A35" s="153"/>
      <c r="C35" s="156" t="s">
        <v>77</v>
      </c>
      <c r="E35" s="221"/>
      <c r="F35" s="157"/>
      <c r="G35" s="223"/>
      <c r="I35" s="291"/>
    </row>
    <row r="36" spans="1:9" s="68" customFormat="1">
      <c r="A36" s="153"/>
      <c r="C36" s="164" t="s">
        <v>78</v>
      </c>
      <c r="D36" s="161"/>
      <c r="E36" s="222"/>
      <c r="F36" s="162"/>
      <c r="G36" s="224"/>
      <c r="I36" s="292"/>
    </row>
    <row r="37" spans="1:9" s="68" customFormat="1" ht="18" customHeight="1">
      <c r="A37" s="153"/>
      <c r="C37" s="142"/>
      <c r="E37" s="157"/>
      <c r="F37" s="157"/>
      <c r="G37" s="157"/>
    </row>
    <row r="38" spans="1:9" s="68" customFormat="1" ht="18" customHeight="1">
      <c r="A38" s="153"/>
      <c r="C38" s="154" t="s">
        <v>79</v>
      </c>
      <c r="D38" s="155"/>
      <c r="E38" s="155" t="s">
        <v>50</v>
      </c>
      <c r="F38" s="155"/>
      <c r="G38" s="76" t="s">
        <v>51</v>
      </c>
      <c r="I38" s="290" t="s">
        <v>80</v>
      </c>
    </row>
    <row r="39" spans="1:9" s="68" customFormat="1" ht="18" customHeight="1">
      <c r="A39" s="153"/>
      <c r="C39" s="156" t="s">
        <v>81</v>
      </c>
      <c r="E39" s="221"/>
      <c r="F39" s="157"/>
      <c r="G39" s="223"/>
      <c r="I39" s="291"/>
    </row>
    <row r="40" spans="1:9" s="68" customFormat="1" ht="18" customHeight="1">
      <c r="A40" s="153"/>
      <c r="C40" s="156" t="s">
        <v>82</v>
      </c>
      <c r="E40" s="221"/>
      <c r="F40" s="157"/>
      <c r="G40" s="223"/>
      <c r="I40" s="291"/>
    </row>
    <row r="41" spans="1:9" s="68" customFormat="1" ht="18" customHeight="1">
      <c r="A41" s="153"/>
      <c r="C41" s="156" t="s">
        <v>83</v>
      </c>
      <c r="E41" s="221"/>
      <c r="F41" s="157"/>
      <c r="G41" s="223"/>
      <c r="I41" s="291"/>
    </row>
    <row r="42" spans="1:9" s="68" customFormat="1">
      <c r="A42" s="153"/>
      <c r="C42" s="164" t="s">
        <v>84</v>
      </c>
      <c r="D42" s="161"/>
      <c r="E42" s="222"/>
      <c r="F42" s="162"/>
      <c r="G42" s="224"/>
      <c r="I42" s="291"/>
    </row>
    <row r="43" spans="1:9" s="68" customFormat="1" ht="18" customHeight="1">
      <c r="A43" s="153"/>
      <c r="C43" s="142"/>
      <c r="E43" s="157"/>
      <c r="F43" s="157"/>
      <c r="G43" s="157"/>
      <c r="I43" s="291"/>
    </row>
    <row r="44" spans="1:9" s="68" customFormat="1" ht="18" customHeight="1">
      <c r="A44" s="153"/>
      <c r="C44" s="154" t="s">
        <v>85</v>
      </c>
      <c r="D44" s="155"/>
      <c r="E44" s="155" t="s">
        <v>50</v>
      </c>
      <c r="F44" s="155"/>
      <c r="G44" s="76" t="s">
        <v>51</v>
      </c>
      <c r="I44" s="291"/>
    </row>
    <row r="45" spans="1:9" s="68" customFormat="1" ht="18" customHeight="1">
      <c r="A45" s="153"/>
      <c r="C45" s="156" t="s">
        <v>86</v>
      </c>
      <c r="E45" s="221"/>
      <c r="F45" s="157"/>
      <c r="G45" s="223"/>
      <c r="I45" s="291"/>
    </row>
    <row r="46" spans="1:9" s="68" customFormat="1" ht="18" customHeight="1">
      <c r="A46" s="153"/>
      <c r="C46" s="158" t="s">
        <v>87</v>
      </c>
      <c r="E46" s="221"/>
      <c r="F46" s="157"/>
      <c r="G46" s="223"/>
      <c r="I46" s="291"/>
    </row>
    <row r="47" spans="1:9" s="68" customFormat="1" ht="18" customHeight="1">
      <c r="A47" s="153"/>
      <c r="C47" s="158" t="s">
        <v>88</v>
      </c>
      <c r="E47" s="221"/>
      <c r="F47" s="157"/>
      <c r="G47" s="223"/>
      <c r="I47" s="291"/>
    </row>
    <row r="48" spans="1:9" s="68" customFormat="1" ht="18" customHeight="1">
      <c r="A48" s="153"/>
      <c r="C48" s="156" t="s">
        <v>89</v>
      </c>
      <c r="E48" s="221"/>
      <c r="F48" s="157"/>
      <c r="G48" s="223"/>
      <c r="I48" s="291"/>
    </row>
    <row r="49" spans="1:9" s="68" customFormat="1">
      <c r="A49" s="153"/>
      <c r="C49" s="164" t="s">
        <v>90</v>
      </c>
      <c r="D49" s="161"/>
      <c r="E49" s="222"/>
      <c r="F49" s="162"/>
      <c r="G49" s="224"/>
      <c r="I49" s="291"/>
    </row>
    <row r="50" spans="1:9" s="68" customFormat="1" ht="18" customHeight="1">
      <c r="A50" s="153"/>
      <c r="C50" s="165"/>
      <c r="D50" s="166"/>
      <c r="E50" s="157"/>
      <c r="F50" s="157"/>
      <c r="G50" s="157"/>
      <c r="I50" s="291"/>
    </row>
    <row r="51" spans="1:9" s="68" customFormat="1" ht="18" customHeight="1">
      <c r="A51" s="153"/>
      <c r="C51" s="154" t="s">
        <v>91</v>
      </c>
      <c r="D51" s="155"/>
      <c r="E51" s="155" t="s">
        <v>50</v>
      </c>
      <c r="F51" s="155"/>
      <c r="G51" s="76" t="s">
        <v>51</v>
      </c>
      <c r="I51" s="291"/>
    </row>
    <row r="52" spans="1:9" s="68" customFormat="1" ht="18" customHeight="1">
      <c r="A52" s="153"/>
      <c r="C52" s="156" t="s">
        <v>92</v>
      </c>
      <c r="E52" s="221"/>
      <c r="F52" s="157"/>
      <c r="G52" s="223"/>
      <c r="I52" s="291"/>
    </row>
    <row r="53" spans="1:9" s="68" customFormat="1" ht="18" customHeight="1">
      <c r="A53" s="153"/>
      <c r="C53" s="156" t="s">
        <v>93</v>
      </c>
      <c r="E53" s="221"/>
      <c r="F53" s="157"/>
      <c r="G53" s="223"/>
      <c r="I53" s="291"/>
    </row>
    <row r="54" spans="1:9" s="68" customFormat="1" ht="26.1">
      <c r="A54" s="153"/>
      <c r="C54" s="156" t="s">
        <v>94</v>
      </c>
      <c r="E54" s="221"/>
      <c r="F54" s="157"/>
      <c r="G54" s="223"/>
      <c r="I54" s="291"/>
    </row>
    <row r="55" spans="1:9" s="68" customFormat="1" ht="18" customHeight="1">
      <c r="A55" s="153"/>
      <c r="C55" s="158" t="s">
        <v>95</v>
      </c>
      <c r="E55" s="221"/>
      <c r="F55" s="157"/>
      <c r="G55" s="223"/>
      <c r="I55" s="291"/>
    </row>
    <row r="56" spans="1:9" s="68" customFormat="1" ht="18" customHeight="1">
      <c r="A56" s="153"/>
      <c r="C56" s="158" t="s">
        <v>96</v>
      </c>
      <c r="E56" s="221"/>
      <c r="F56" s="157"/>
      <c r="G56" s="223"/>
      <c r="I56" s="291"/>
    </row>
    <row r="57" spans="1:9" s="68" customFormat="1" ht="18" customHeight="1">
      <c r="A57" s="153"/>
      <c r="C57" s="156" t="s">
        <v>97</v>
      </c>
      <c r="E57" s="221"/>
      <c r="F57" s="157"/>
      <c r="G57" s="223"/>
      <c r="I57" s="291"/>
    </row>
    <row r="58" spans="1:9" s="68" customFormat="1" ht="18" customHeight="1">
      <c r="A58" s="153"/>
      <c r="C58" s="158" t="s">
        <v>98</v>
      </c>
      <c r="E58" s="221"/>
      <c r="F58" s="157"/>
      <c r="G58" s="223"/>
      <c r="I58" s="291"/>
    </row>
    <row r="59" spans="1:9" s="68" customFormat="1" ht="18" customHeight="1">
      <c r="A59" s="153"/>
      <c r="C59" s="156" t="s">
        <v>99</v>
      </c>
      <c r="E59" s="221"/>
      <c r="F59" s="157"/>
      <c r="G59" s="223"/>
      <c r="I59" s="291"/>
    </row>
    <row r="60" spans="1:9" s="68" customFormat="1" ht="18" customHeight="1">
      <c r="A60" s="153"/>
      <c r="C60" s="158" t="s">
        <v>100</v>
      </c>
      <c r="E60" s="221"/>
      <c r="F60" s="157"/>
      <c r="G60" s="223"/>
      <c r="I60" s="291"/>
    </row>
    <row r="61" spans="1:9" s="68" customFormat="1" ht="18" customHeight="1">
      <c r="A61" s="153"/>
      <c r="C61" s="156" t="s">
        <v>101</v>
      </c>
      <c r="E61" s="221"/>
      <c r="F61" s="157"/>
      <c r="G61" s="223"/>
      <c r="I61" s="291"/>
    </row>
    <row r="62" spans="1:9" s="68" customFormat="1">
      <c r="A62" s="153"/>
      <c r="C62" s="164" t="s">
        <v>102</v>
      </c>
      <c r="D62" s="161"/>
      <c r="E62" s="222"/>
      <c r="F62" s="162"/>
      <c r="G62" s="224"/>
      <c r="I62" s="292"/>
    </row>
    <row r="63" spans="1:9" s="68" customFormat="1" ht="18" customHeight="1">
      <c r="A63" s="153"/>
      <c r="C63" s="142"/>
    </row>
    <row r="64" spans="1:9" s="68" customFormat="1" ht="18" customHeight="1">
      <c r="A64" s="153"/>
      <c r="C64" s="154" t="s">
        <v>103</v>
      </c>
      <c r="D64" s="155"/>
      <c r="E64" s="155" t="s">
        <v>50</v>
      </c>
      <c r="F64" s="155"/>
      <c r="G64" s="76" t="s">
        <v>51</v>
      </c>
      <c r="I64" s="290" t="s">
        <v>104</v>
      </c>
    </row>
    <row r="65" spans="1:9" s="68" customFormat="1" ht="18" customHeight="1">
      <c r="A65" s="153"/>
      <c r="C65" s="156" t="s">
        <v>105</v>
      </c>
      <c r="E65" s="221"/>
      <c r="F65" s="157"/>
      <c r="G65" s="223"/>
      <c r="I65" s="291"/>
    </row>
    <row r="66" spans="1:9" s="68" customFormat="1" ht="18" customHeight="1">
      <c r="A66" s="153"/>
      <c r="C66" s="158" t="s">
        <v>106</v>
      </c>
      <c r="E66" s="221"/>
      <c r="F66" s="157"/>
      <c r="G66" s="223"/>
      <c r="I66" s="291"/>
    </row>
    <row r="67" spans="1:9" s="68" customFormat="1" ht="18" customHeight="1">
      <c r="A67" s="153"/>
      <c r="C67" s="164" t="s">
        <v>107</v>
      </c>
      <c r="D67" s="161"/>
      <c r="E67" s="222"/>
      <c r="F67" s="162"/>
      <c r="G67" s="224"/>
      <c r="I67" s="291"/>
    </row>
    <row r="68" spans="1:9" s="68" customFormat="1" ht="18" customHeight="1">
      <c r="A68" s="153"/>
      <c r="C68" s="142"/>
      <c r="I68" s="291"/>
    </row>
    <row r="69" spans="1:9" s="68" customFormat="1" ht="18" customHeight="1">
      <c r="A69" s="153"/>
      <c r="C69" s="154" t="s">
        <v>108</v>
      </c>
      <c r="D69" s="155"/>
      <c r="E69" s="155" t="s">
        <v>50</v>
      </c>
      <c r="F69" s="155"/>
      <c r="G69" s="76" t="s">
        <v>51</v>
      </c>
      <c r="I69" s="291"/>
    </row>
    <row r="70" spans="1:9" s="68" customFormat="1" ht="18" customHeight="1">
      <c r="A70" s="153"/>
      <c r="C70" s="156" t="s">
        <v>109</v>
      </c>
      <c r="E70" s="221"/>
      <c r="F70" s="157"/>
      <c r="G70" s="223"/>
      <c r="I70" s="291"/>
    </row>
    <row r="71" spans="1:9" s="68" customFormat="1" ht="18" customHeight="1">
      <c r="A71" s="153"/>
      <c r="C71" s="164"/>
      <c r="D71" s="161"/>
      <c r="E71" s="222"/>
      <c r="F71" s="162"/>
      <c r="G71" s="224"/>
      <c r="I71" s="292"/>
    </row>
    <row r="72" spans="1:9" s="68" customFormat="1" ht="18" customHeight="1">
      <c r="A72" s="153"/>
      <c r="E72" s="157"/>
      <c r="F72" s="157"/>
      <c r="G72" s="157"/>
    </row>
    <row r="73" spans="1:9" s="68" customFormat="1" ht="18" customHeight="1">
      <c r="A73" s="153"/>
      <c r="C73" s="166"/>
      <c r="E73" s="157"/>
      <c r="F73" s="157"/>
      <c r="G73" s="157"/>
    </row>
    <row r="74" spans="1:9" s="68" customFormat="1" ht="18" customHeight="1">
      <c r="A74" s="153"/>
      <c r="C74" s="68" t="s">
        <v>110</v>
      </c>
      <c r="E74" s="157"/>
      <c r="F74" s="157"/>
      <c r="G74" s="157"/>
    </row>
    <row r="75" spans="1:9" s="68" customFormat="1" ht="18" customHeight="1">
      <c r="A75" s="153"/>
      <c r="E75" s="157"/>
      <c r="F75" s="157"/>
      <c r="G75" s="157"/>
    </row>
    <row r="76" spans="1:9" s="68" customFormat="1" ht="18" customHeight="1">
      <c r="A76" s="153"/>
      <c r="E76" s="157"/>
      <c r="F76" s="157"/>
      <c r="G76" s="157"/>
    </row>
    <row r="77" spans="1:9" s="68" customFormat="1" ht="18" customHeight="1">
      <c r="A77" s="153"/>
      <c r="E77" s="157"/>
      <c r="F77" s="157"/>
      <c r="G77" s="157"/>
    </row>
    <row r="78" spans="1:9" s="68" customFormat="1" ht="18" customHeight="1">
      <c r="A78" s="153"/>
      <c r="C78" s="68" t="s">
        <v>111</v>
      </c>
      <c r="D78" s="166"/>
      <c r="E78" s="157"/>
      <c r="F78" s="157"/>
      <c r="G78" s="157"/>
    </row>
    <row r="79" spans="1:9" s="68" customFormat="1" ht="18" customHeight="1">
      <c r="A79" s="153"/>
      <c r="C79" s="68" t="s">
        <v>112</v>
      </c>
    </row>
    <row r="80" spans="1:9" s="68" customFormat="1" ht="18" customHeight="1">
      <c r="A80" s="153"/>
      <c r="C80" s="68" t="s">
        <v>113</v>
      </c>
    </row>
    <row r="81" spans="1:3" s="68" customFormat="1" ht="18" customHeight="1">
      <c r="A81" s="153"/>
      <c r="C81" s="68" t="s">
        <v>114</v>
      </c>
    </row>
    <row r="82" spans="1:3" s="68" customFormat="1" ht="18" customHeight="1">
      <c r="A82" s="153"/>
    </row>
    <row r="83" spans="1:3" s="68" customFormat="1" ht="18" customHeight="1">
      <c r="A83" s="153"/>
      <c r="C83" s="68" t="s">
        <v>115</v>
      </c>
    </row>
    <row r="84" spans="1:3" s="68" customFormat="1" ht="18" customHeight="1">
      <c r="A84" s="153"/>
      <c r="C84" s="68" t="s">
        <v>116</v>
      </c>
    </row>
    <row r="85" spans="1:3" s="68" customFormat="1" ht="18" customHeight="1">
      <c r="A85" s="153"/>
      <c r="C85" s="68" t="s">
        <v>117</v>
      </c>
    </row>
    <row r="86" spans="1:3" s="68" customFormat="1" ht="18" customHeight="1">
      <c r="A86" s="153"/>
      <c r="C86" s="68" t="s">
        <v>118</v>
      </c>
    </row>
    <row r="87" spans="1:3" s="68" customFormat="1" ht="18" customHeight="1">
      <c r="A87" s="153"/>
      <c r="C87" s="68" t="s">
        <v>119</v>
      </c>
    </row>
    <row r="88" spans="1:3" s="68" customFormat="1" ht="18" customHeight="1">
      <c r="A88" s="153"/>
    </row>
    <row r="89" spans="1:3" s="68" customFormat="1" ht="18" customHeight="1">
      <c r="A89" s="153"/>
    </row>
    <row r="90" spans="1:3" s="68" customFormat="1" ht="18" customHeight="1">
      <c r="A90" s="153"/>
    </row>
    <row r="91" spans="1:3" s="68" customFormat="1" ht="18" customHeight="1">
      <c r="A91" s="153"/>
    </row>
    <row r="92" spans="1:3" s="68" customFormat="1" ht="18" customHeight="1">
      <c r="A92" s="153"/>
    </row>
    <row r="93" spans="1:3" s="68" customFormat="1" ht="18" customHeight="1">
      <c r="A93" s="153"/>
    </row>
    <row r="94" spans="1:3" s="68" customFormat="1" ht="18" customHeight="1">
      <c r="A94" s="153"/>
    </row>
    <row r="95" spans="1:3" s="68" customFormat="1" ht="18" customHeight="1">
      <c r="A95" s="153"/>
    </row>
    <row r="96" spans="1:3" s="68" customFormat="1" ht="18" customHeight="1">
      <c r="A96" s="153"/>
    </row>
    <row r="97" spans="1:1" s="68" customFormat="1" ht="18" customHeight="1">
      <c r="A97" s="153"/>
    </row>
    <row r="98" spans="1:1" s="68" customFormat="1" ht="18" customHeight="1">
      <c r="A98" s="153"/>
    </row>
    <row r="99" spans="1:1" s="68" customFormat="1" ht="18" customHeight="1">
      <c r="A99" s="153"/>
    </row>
    <row r="100" spans="1:1" s="68" customFormat="1" ht="18" customHeight="1">
      <c r="A100" s="153"/>
    </row>
    <row r="101" spans="1:1" s="68" customFormat="1" ht="18" customHeight="1">
      <c r="A101" s="153"/>
    </row>
    <row r="102" spans="1:1" s="68" customFormat="1" ht="18" customHeight="1">
      <c r="A102" s="153"/>
    </row>
    <row r="103" spans="1:1" s="68" customFormat="1" ht="18" customHeight="1">
      <c r="A103" s="153"/>
    </row>
    <row r="104" spans="1:1" s="68" customFormat="1" ht="18" customHeight="1">
      <c r="A104" s="153"/>
    </row>
    <row r="105" spans="1:1" s="68" customFormat="1" ht="18" customHeight="1">
      <c r="A105" s="153"/>
    </row>
    <row r="106" spans="1:1" s="68" customFormat="1" ht="18" customHeight="1">
      <c r="A106" s="153"/>
    </row>
    <row r="107" spans="1:1" s="68" customFormat="1" ht="18" customHeight="1">
      <c r="A107" s="153"/>
    </row>
    <row r="108" spans="1:1" s="68" customFormat="1" ht="18" customHeight="1">
      <c r="A108" s="153"/>
    </row>
    <row r="109" spans="1:1" s="68" customFormat="1" ht="18" customHeight="1">
      <c r="A109" s="153"/>
    </row>
  </sheetData>
  <sheetProtection selectLockedCells="1"/>
  <mergeCells count="5">
    <mergeCell ref="C4:G5"/>
    <mergeCell ref="I7:I23"/>
    <mergeCell ref="I25:I36"/>
    <mergeCell ref="I38:I62"/>
    <mergeCell ref="I64:I71"/>
  </mergeCells>
  <conditionalFormatting sqref="D29 D37 D43 D72:D76">
    <cfRule type="cellIs" dxfId="57" priority="1" operator="equal">
      <formula>5</formula>
    </cfRule>
    <cfRule type="cellIs" dxfId="56" priority="2" operator="equal">
      <formula>4</formula>
    </cfRule>
    <cfRule type="cellIs" dxfId="55" priority="3" operator="equal">
      <formula>3</formula>
    </cfRule>
    <cfRule type="cellIs" dxfId="54" priority="4" operator="equal">
      <formula>2</formula>
    </cfRule>
    <cfRule type="cellIs" dxfId="53" priority="5" operator="equal">
      <formula>1</formula>
    </cfRule>
  </conditionalFormatting>
  <pageMargins left="0.25" right="0.25" top="0.75" bottom="0.75" header="0.3" footer="0.3"/>
  <pageSetup paperSize="9" scale="4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04E5-B415-4522-A640-5BC74F7C1405}">
  <sheetPr>
    <tabColor rgb="FFFFF2CC"/>
    <pageSetUpPr fitToPage="1"/>
  </sheetPr>
  <dimension ref="A1:P486"/>
  <sheetViews>
    <sheetView topLeftCell="A32" zoomScale="77" zoomScaleNormal="100" workbookViewId="0">
      <selection activeCell="A41" sqref="A41:XFD41"/>
    </sheetView>
  </sheetViews>
  <sheetFormatPr defaultColWidth="9.140625" defaultRowHeight="14.25" customHeight="1"/>
  <cols>
    <col min="1" max="1" width="3.5703125" style="52" customWidth="1"/>
    <col min="2" max="2" width="3.5703125" style="53" customWidth="1"/>
    <col min="3" max="4" width="4.7109375" style="53" customWidth="1"/>
    <col min="5" max="5" width="86.42578125" style="53" customWidth="1"/>
    <col min="6" max="6" width="3.5703125" style="53" customWidth="1"/>
    <col min="7" max="7" width="3.5703125" style="55" customWidth="1"/>
    <col min="8" max="9" width="3.5703125" style="53" customWidth="1"/>
    <col min="10" max="10" width="5.7109375" style="53" customWidth="1"/>
    <col min="11" max="11" width="80.7109375" style="53" customWidth="1"/>
    <col min="12" max="13" width="3.5703125" style="53" customWidth="1"/>
    <col min="14" max="14" width="15.42578125" style="63" customWidth="1"/>
    <col min="15" max="15" width="10.28515625" style="103" customWidth="1"/>
    <col min="16" max="16" width="36.5703125" style="53" bestFit="1" customWidth="1"/>
    <col min="17" max="16384" width="9.140625" style="53"/>
  </cols>
  <sheetData>
    <row r="1" spans="1:16" s="49" customFormat="1" ht="26.1" customHeight="1">
      <c r="A1" s="45"/>
      <c r="B1" s="45"/>
      <c r="C1" s="46" t="s">
        <v>120</v>
      </c>
      <c r="D1" s="45"/>
      <c r="E1" s="45"/>
      <c r="F1" s="45"/>
      <c r="G1" s="47"/>
      <c r="H1" s="48"/>
      <c r="I1" s="48"/>
      <c r="J1" s="48"/>
      <c r="K1" s="48" t="str">
        <f>_xlfn.CONCAT(Synthèse!C1, " // Cours ", Synthèse!H3)</f>
        <v>Kangourou / Toto Tutu // Cours RU - Chef de camp JS SdC/T</v>
      </c>
      <c r="L1" s="45"/>
      <c r="N1" s="50" t="s">
        <v>121</v>
      </c>
      <c r="O1" s="51"/>
    </row>
    <row r="2" spans="1:16" ht="15">
      <c r="D2" s="54"/>
      <c r="E2" s="54"/>
      <c r="F2" s="54"/>
      <c r="N2" s="56">
        <f>COUNTBLANK(E11:E164)</f>
        <v>55</v>
      </c>
      <c r="O2" s="57">
        <f>COUNTBLANK(H11:H164)-N2</f>
        <v>99</v>
      </c>
      <c r="P2" s="53" t="s">
        <v>122</v>
      </c>
    </row>
    <row r="3" spans="1:16" ht="15" customHeight="1">
      <c r="C3" s="295" t="str">
        <f>O6</f>
        <v/>
      </c>
      <c r="D3" s="296"/>
      <c r="E3" s="58" t="s">
        <v>47</v>
      </c>
      <c r="F3" s="58"/>
      <c r="G3" s="59"/>
      <c r="H3" s="60"/>
      <c r="I3" s="60"/>
      <c r="J3" s="61"/>
      <c r="K3" s="62" t="s">
        <v>48</v>
      </c>
      <c r="O3" s="64" t="e">
        <f>AVERAGEIF(H11:H164,"&lt;&gt;0")</f>
        <v>#DIV/0!</v>
      </c>
      <c r="P3" s="53" t="s">
        <v>123</v>
      </c>
    </row>
    <row r="4" spans="1:16" ht="15" customHeight="1">
      <c r="C4" s="297"/>
      <c r="D4" s="298"/>
      <c r="E4" s="303"/>
      <c r="F4" s="303"/>
      <c r="G4" s="303"/>
      <c r="H4" s="303"/>
      <c r="I4" s="303"/>
      <c r="J4" s="303"/>
      <c r="K4" s="304"/>
      <c r="O4" s="65" t="str" cm="1">
        <f t="array" ref="O4">IFERROR(SUMPRODUCT(N11:N164,F11:F164)/SUMPRODUCT(--(N11:N164&lt;&gt;""),F11:F164),"")</f>
        <v/>
      </c>
      <c r="P4" s="53" t="s">
        <v>124</v>
      </c>
    </row>
    <row r="5" spans="1:16" ht="15" customHeight="1">
      <c r="C5" s="299"/>
      <c r="D5" s="300"/>
      <c r="E5" s="305"/>
      <c r="F5" s="305"/>
      <c r="G5" s="305"/>
      <c r="H5" s="305"/>
      <c r="I5" s="305"/>
      <c r="J5" s="305"/>
      <c r="K5" s="306"/>
      <c r="O5" s="64" t="e">
        <f>C3-O4</f>
        <v>#VALUE!</v>
      </c>
      <c r="P5" s="53" t="s">
        <v>125</v>
      </c>
    </row>
    <row r="6" spans="1:16" ht="15" customHeight="1">
      <c r="C6" s="66"/>
      <c r="D6" s="66"/>
      <c r="E6" s="66"/>
      <c r="F6" s="301" t="s">
        <v>126</v>
      </c>
      <c r="G6" s="293" t="s">
        <v>127</v>
      </c>
      <c r="H6" s="293" t="s">
        <v>128</v>
      </c>
      <c r="I6" s="293" t="s">
        <v>129</v>
      </c>
      <c r="J6" s="293" t="s">
        <v>130</v>
      </c>
      <c r="O6" s="225" t="str">
        <f>IFERROR(ROUND(IF(O4&lt;=3, (O4-1)/2, 1 + (O4-3)*0.25),2),"")</f>
        <v/>
      </c>
      <c r="P6" s="53" t="s">
        <v>131</v>
      </c>
    </row>
    <row r="7" spans="1:16" s="68" customFormat="1" ht="18" customHeight="1">
      <c r="A7" s="67"/>
      <c r="C7" s="69" t="s">
        <v>132</v>
      </c>
      <c r="D7" s="70"/>
      <c r="E7" s="70"/>
      <c r="F7" s="302"/>
      <c r="G7" s="294"/>
      <c r="H7" s="294"/>
      <c r="I7" s="294"/>
      <c r="J7" s="294"/>
      <c r="K7" s="70"/>
      <c r="N7" s="71"/>
      <c r="O7" s="72"/>
    </row>
    <row r="8" spans="1:16" s="68" customFormat="1" ht="18" customHeight="1">
      <c r="A8" s="67"/>
      <c r="D8" s="73" t="s">
        <v>133</v>
      </c>
      <c r="E8" s="74"/>
      <c r="F8" s="302"/>
      <c r="G8" s="294"/>
      <c r="H8" s="294"/>
      <c r="I8" s="294"/>
      <c r="J8" s="294"/>
      <c r="K8" s="75"/>
      <c r="N8" s="71" t="s">
        <v>134</v>
      </c>
      <c r="O8" s="64"/>
    </row>
    <row r="9" spans="1:16" s="68" customFormat="1" ht="18" customHeight="1">
      <c r="A9" s="67"/>
      <c r="D9" s="76"/>
      <c r="E9" s="68" t="s">
        <v>135</v>
      </c>
      <c r="F9" s="302"/>
      <c r="G9" s="294"/>
      <c r="H9" s="294"/>
      <c r="I9" s="294"/>
      <c r="J9" s="294"/>
      <c r="K9" s="66" t="s">
        <v>50</v>
      </c>
      <c r="N9" s="71" t="s">
        <v>136</v>
      </c>
      <c r="O9" s="64" t="s">
        <v>137</v>
      </c>
    </row>
    <row r="10" spans="1:16" s="68" customFormat="1" ht="18" customHeight="1">
      <c r="A10" s="67"/>
      <c r="G10" s="77"/>
      <c r="H10" s="66"/>
      <c r="I10" s="66"/>
      <c r="J10" s="66"/>
      <c r="K10" s="66"/>
      <c r="N10" s="71"/>
      <c r="O10" s="64"/>
    </row>
    <row r="11" spans="1:16" s="68" customFormat="1" ht="30" customHeight="1" thickBot="1">
      <c r="A11" s="67"/>
      <c r="C11" s="78" t="s">
        <v>138</v>
      </c>
      <c r="D11" s="78"/>
      <c r="E11" s="78"/>
      <c r="F11" s="79">
        <v>2</v>
      </c>
      <c r="G11" s="80"/>
      <c r="H11" s="81"/>
      <c r="I11" s="82"/>
      <c r="J11" s="226" t="str">
        <f>IFERROR(ROUND(IF(N11&lt;=3, (N11-1)/2, 1 + (N11-3)*0.25),2),"")</f>
        <v/>
      </c>
      <c r="K11" s="83"/>
      <c r="L11" s="84"/>
      <c r="M11" s="64"/>
      <c r="N11" s="85" t="str" cm="1">
        <f t="array" ref="N11">IFERROR(SUMPRODUCT(I12:I34,G12:G34)/SUMPRODUCT(--(I12:I34&lt;&gt;""),G12:G34),"")</f>
        <v/>
      </c>
      <c r="O11" s="64" t="e">
        <f>J11-N11</f>
        <v>#VALUE!</v>
      </c>
    </row>
    <row r="12" spans="1:16" s="68" customFormat="1" ht="18" customHeight="1">
      <c r="A12" s="67"/>
      <c r="D12" s="86" t="s">
        <v>139</v>
      </c>
      <c r="E12" s="87"/>
      <c r="F12" s="87"/>
      <c r="G12" s="88">
        <v>1</v>
      </c>
      <c r="H12" s="89"/>
      <c r="I12" s="90" t="str">
        <f>IFERROR(AVERAGEIF(H13:H17, "&lt;&gt;0"), "")</f>
        <v/>
      </c>
      <c r="J12" s="90"/>
      <c r="K12" s="91"/>
      <c r="N12" s="85"/>
      <c r="O12" s="64"/>
    </row>
    <row r="13" spans="1:16" s="68" customFormat="1" ht="18" customHeight="1">
      <c r="A13" s="67"/>
      <c r="D13" s="92"/>
      <c r="E13" s="68" t="s">
        <v>140</v>
      </c>
      <c r="F13" s="93"/>
      <c r="G13" s="94"/>
      <c r="H13" s="95"/>
      <c r="I13" s="96"/>
      <c r="J13" s="96"/>
      <c r="K13" s="97"/>
      <c r="N13" s="85"/>
      <c r="O13" s="64"/>
    </row>
    <row r="14" spans="1:16" s="68" customFormat="1" ht="18" customHeight="1">
      <c r="A14" s="67"/>
      <c r="D14" s="92"/>
      <c r="E14" s="68" t="s">
        <v>141</v>
      </c>
      <c r="F14" s="93"/>
      <c r="G14" s="94"/>
      <c r="H14" s="95"/>
      <c r="I14" s="96"/>
      <c r="J14" s="96"/>
      <c r="K14" s="97"/>
      <c r="N14" s="85"/>
      <c r="O14" s="64"/>
    </row>
    <row r="15" spans="1:16" s="68" customFormat="1" ht="18" customHeight="1">
      <c r="A15" s="67"/>
      <c r="D15" s="92"/>
      <c r="E15" s="68" t="s">
        <v>142</v>
      </c>
      <c r="F15" s="93"/>
      <c r="G15" s="94"/>
      <c r="H15" s="95"/>
      <c r="I15" s="96"/>
      <c r="J15" s="96"/>
      <c r="K15" s="97"/>
      <c r="N15" s="85"/>
      <c r="O15" s="64"/>
    </row>
    <row r="16" spans="1:16" s="68" customFormat="1" ht="18" customHeight="1">
      <c r="A16" s="67"/>
      <c r="D16" s="92"/>
      <c r="E16" s="68" t="s">
        <v>143</v>
      </c>
      <c r="F16" s="93"/>
      <c r="G16" s="94"/>
      <c r="H16" s="95"/>
      <c r="I16" s="96"/>
      <c r="J16" s="96"/>
      <c r="K16" s="97"/>
      <c r="N16" s="85"/>
      <c r="O16" s="64"/>
    </row>
    <row r="17" spans="1:15" s="68" customFormat="1" ht="18" customHeight="1">
      <c r="A17" s="67"/>
      <c r="D17" s="92"/>
      <c r="E17" s="68" t="s">
        <v>144</v>
      </c>
      <c r="F17" s="93"/>
      <c r="G17" s="94"/>
      <c r="H17" s="95"/>
      <c r="I17" s="96"/>
      <c r="J17" s="96"/>
      <c r="K17" s="97"/>
      <c r="N17" s="85"/>
      <c r="O17" s="64"/>
    </row>
    <row r="18" spans="1:15" s="68" customFormat="1" ht="18" customHeight="1">
      <c r="A18" s="67"/>
      <c r="D18" s="86" t="s">
        <v>145</v>
      </c>
      <c r="E18" s="87"/>
      <c r="F18" s="87"/>
      <c r="G18" s="88">
        <v>1</v>
      </c>
      <c r="H18" s="89"/>
      <c r="I18" s="90" t="str">
        <f>IFERROR(AVERAGEIF(H19:H25, "&lt;&gt;0"), "")</f>
        <v/>
      </c>
      <c r="J18" s="90"/>
      <c r="K18" s="91"/>
      <c r="N18" s="85"/>
      <c r="O18" s="64"/>
    </row>
    <row r="19" spans="1:15" s="68" customFormat="1" ht="18" customHeight="1">
      <c r="A19" s="67"/>
      <c r="D19" s="92"/>
      <c r="E19" s="68" t="s">
        <v>146</v>
      </c>
      <c r="F19" s="93"/>
      <c r="G19" s="94"/>
      <c r="H19" s="95"/>
      <c r="I19" s="96"/>
      <c r="J19" s="96"/>
      <c r="K19" s="97"/>
      <c r="N19" s="85"/>
      <c r="O19" s="64"/>
    </row>
    <row r="20" spans="1:15" s="68" customFormat="1" ht="18" customHeight="1">
      <c r="A20" s="67"/>
      <c r="D20" s="92"/>
      <c r="E20" s="68" t="s">
        <v>147</v>
      </c>
      <c r="F20" s="93"/>
      <c r="G20" s="94"/>
      <c r="H20" s="95"/>
      <c r="I20" s="96"/>
      <c r="J20" s="96"/>
      <c r="K20" s="97"/>
      <c r="N20" s="85"/>
      <c r="O20" s="64"/>
    </row>
    <row r="21" spans="1:15" s="68" customFormat="1" ht="18" customHeight="1">
      <c r="A21" s="67"/>
      <c r="D21" s="92"/>
      <c r="E21" s="68" t="s">
        <v>148</v>
      </c>
      <c r="F21" s="93"/>
      <c r="G21" s="94"/>
      <c r="H21" s="95"/>
      <c r="I21" s="96"/>
      <c r="J21" s="96"/>
      <c r="K21" s="97"/>
      <c r="N21" s="85"/>
      <c r="O21" s="64"/>
    </row>
    <row r="22" spans="1:15" s="68" customFormat="1" ht="18" customHeight="1">
      <c r="A22" s="67"/>
      <c r="D22" s="92"/>
      <c r="E22" s="68" t="s">
        <v>149</v>
      </c>
      <c r="F22" s="93"/>
      <c r="G22" s="94"/>
      <c r="H22" s="95"/>
      <c r="I22" s="96"/>
      <c r="J22" s="96"/>
      <c r="K22" s="97"/>
      <c r="N22" s="85"/>
      <c r="O22" s="64"/>
    </row>
    <row r="23" spans="1:15" s="68" customFormat="1" ht="18" customHeight="1">
      <c r="A23" s="67"/>
      <c r="D23" s="92"/>
      <c r="E23" s="68" t="s">
        <v>150</v>
      </c>
      <c r="F23" s="93"/>
      <c r="G23" s="94"/>
      <c r="H23" s="95"/>
      <c r="I23" s="96"/>
      <c r="J23" s="96"/>
      <c r="K23" s="97"/>
      <c r="N23" s="85"/>
      <c r="O23" s="64"/>
    </row>
    <row r="24" spans="1:15" s="68" customFormat="1" ht="18" customHeight="1">
      <c r="A24" s="67"/>
      <c r="D24" s="92"/>
      <c r="E24" s="68" t="s">
        <v>151</v>
      </c>
      <c r="F24" s="93"/>
      <c r="G24" s="94"/>
      <c r="H24" s="95"/>
      <c r="I24" s="96"/>
      <c r="J24" s="96"/>
      <c r="K24" s="97"/>
      <c r="N24" s="85"/>
      <c r="O24" s="64"/>
    </row>
    <row r="25" spans="1:15" s="68" customFormat="1" ht="18" customHeight="1">
      <c r="A25" s="67"/>
      <c r="D25" s="92"/>
      <c r="E25" s="68" t="s">
        <v>152</v>
      </c>
      <c r="F25" s="93"/>
      <c r="G25" s="94"/>
      <c r="H25" s="95"/>
      <c r="I25" s="96"/>
      <c r="J25" s="96"/>
      <c r="K25" s="97"/>
      <c r="N25" s="85"/>
      <c r="O25" s="64"/>
    </row>
    <row r="26" spans="1:15" s="68" customFormat="1" ht="18" customHeight="1">
      <c r="A26" s="67"/>
      <c r="D26" s="86" t="s">
        <v>153</v>
      </c>
      <c r="E26" s="87"/>
      <c r="F26" s="87"/>
      <c r="G26" s="88">
        <v>2</v>
      </c>
      <c r="H26" s="89"/>
      <c r="I26" s="90" t="str">
        <f>IFERROR(AVERAGEIF(H27:H34, "&lt;&gt;0"), "")</f>
        <v/>
      </c>
      <c r="J26" s="90"/>
      <c r="K26" s="91"/>
      <c r="N26" s="85"/>
      <c r="O26" s="64"/>
    </row>
    <row r="27" spans="1:15" s="68" customFormat="1" ht="18" customHeight="1">
      <c r="A27" s="67"/>
      <c r="D27" s="92"/>
      <c r="E27" s="68" t="s">
        <v>154</v>
      </c>
      <c r="F27" s="93"/>
      <c r="G27" s="94"/>
      <c r="H27" s="95"/>
      <c r="I27" s="96"/>
      <c r="J27" s="96"/>
      <c r="K27" s="97"/>
      <c r="N27" s="85"/>
      <c r="O27" s="64"/>
    </row>
    <row r="28" spans="1:15" s="68" customFormat="1" ht="18" customHeight="1">
      <c r="A28" s="67"/>
      <c r="D28" s="92"/>
      <c r="E28" s="68" t="s">
        <v>155</v>
      </c>
      <c r="F28" s="93"/>
      <c r="G28" s="94"/>
      <c r="H28" s="95"/>
      <c r="I28" s="96"/>
      <c r="J28" s="96"/>
      <c r="K28" s="97"/>
      <c r="N28" s="85"/>
      <c r="O28" s="64"/>
    </row>
    <row r="29" spans="1:15" s="68" customFormat="1" ht="18" customHeight="1">
      <c r="A29" s="67"/>
      <c r="D29" s="92"/>
      <c r="E29" s="68" t="s">
        <v>156</v>
      </c>
      <c r="F29" s="93"/>
      <c r="G29" s="94"/>
      <c r="H29" s="95"/>
      <c r="I29" s="96"/>
      <c r="J29" s="96"/>
      <c r="K29" s="97"/>
      <c r="N29" s="85"/>
      <c r="O29" s="64"/>
    </row>
    <row r="30" spans="1:15" s="68" customFormat="1" ht="18" customHeight="1">
      <c r="A30" s="67"/>
      <c r="D30" s="92"/>
      <c r="E30" s="68" t="s">
        <v>157</v>
      </c>
      <c r="F30" s="93"/>
      <c r="G30" s="94"/>
      <c r="H30" s="95"/>
      <c r="I30" s="96"/>
      <c r="J30" s="96"/>
      <c r="K30" s="97"/>
      <c r="N30" s="85"/>
      <c r="O30" s="64"/>
    </row>
    <row r="31" spans="1:15" s="68" customFormat="1" ht="18" customHeight="1">
      <c r="A31" s="67"/>
      <c r="D31" s="92"/>
      <c r="E31" s="68" t="s">
        <v>158</v>
      </c>
      <c r="F31" s="93"/>
      <c r="G31" s="94"/>
      <c r="H31" s="95"/>
      <c r="I31" s="96"/>
      <c r="J31" s="96"/>
      <c r="K31" s="97"/>
      <c r="N31" s="85"/>
      <c r="O31" s="64"/>
    </row>
    <row r="32" spans="1:15" s="68" customFormat="1" ht="18" customHeight="1">
      <c r="A32" s="67"/>
      <c r="D32" s="92"/>
      <c r="E32" s="68" t="s">
        <v>159</v>
      </c>
      <c r="F32" s="93"/>
      <c r="G32" s="94"/>
      <c r="H32" s="95"/>
      <c r="I32" s="96"/>
      <c r="J32" s="96"/>
      <c r="K32" s="97"/>
      <c r="N32" s="85"/>
      <c r="O32" s="64"/>
    </row>
    <row r="33" spans="1:15" s="68" customFormat="1" ht="18" customHeight="1">
      <c r="A33" s="67"/>
      <c r="D33" s="92"/>
      <c r="E33" s="68" t="s">
        <v>160</v>
      </c>
      <c r="F33" s="93"/>
      <c r="G33" s="94"/>
      <c r="H33" s="95"/>
      <c r="I33" s="96"/>
      <c r="J33" s="96"/>
      <c r="K33" s="97"/>
      <c r="N33" s="85"/>
      <c r="O33" s="64"/>
    </row>
    <row r="34" spans="1:15" s="68" customFormat="1" ht="18" customHeight="1">
      <c r="A34" s="67"/>
      <c r="D34" s="92"/>
      <c r="E34" s="68" t="s">
        <v>161</v>
      </c>
      <c r="F34" s="93"/>
      <c r="G34" s="94"/>
      <c r="H34" s="95"/>
      <c r="I34" s="96"/>
      <c r="J34" s="96"/>
      <c r="K34" s="97"/>
      <c r="N34" s="85"/>
      <c r="O34" s="64"/>
    </row>
    <row r="35" spans="1:15" s="68" customFormat="1" ht="30" customHeight="1" thickBot="1">
      <c r="A35" s="67"/>
      <c r="C35" s="78" t="s">
        <v>162</v>
      </c>
      <c r="D35" s="78"/>
      <c r="E35" s="78"/>
      <c r="F35" s="79">
        <v>1</v>
      </c>
      <c r="G35" s="80"/>
      <c r="H35" s="81"/>
      <c r="I35" s="82"/>
      <c r="J35" s="226" t="str">
        <f>IFERROR(ROUND(IF(N35&lt;=3, (N35-1)/2, 1 + (N35-3)*0.25),2),"")</f>
        <v/>
      </c>
      <c r="K35" s="83"/>
      <c r="L35" s="84"/>
      <c r="M35" s="64"/>
      <c r="N35" s="85" t="str" cm="1">
        <f t="array" ref="N35">IFERROR(SUMPRODUCT(I36:I45,G36:G45)/SUMPRODUCT(--(I36:I45&lt;&gt;""),G36:G45),"")</f>
        <v/>
      </c>
      <c r="O35" s="64" t="e">
        <f>J35-N35</f>
        <v>#VALUE!</v>
      </c>
    </row>
    <row r="36" spans="1:15" s="68" customFormat="1" ht="18" customHeight="1">
      <c r="A36" s="67"/>
      <c r="D36" s="86" t="s">
        <v>163</v>
      </c>
      <c r="E36" s="87"/>
      <c r="F36" s="87"/>
      <c r="G36" s="88">
        <v>1</v>
      </c>
      <c r="H36" s="89"/>
      <c r="I36" s="90" t="str">
        <f>IFERROR(AVERAGEIF(H37:H40, "&lt;&gt;0"), "")</f>
        <v/>
      </c>
      <c r="J36" s="90"/>
      <c r="K36" s="91"/>
      <c r="N36" s="85"/>
      <c r="O36" s="64"/>
    </row>
    <row r="37" spans="1:15" s="68" customFormat="1" ht="18" customHeight="1">
      <c r="A37" s="67"/>
      <c r="D37" s="92"/>
      <c r="E37" s="68" t="s">
        <v>164</v>
      </c>
      <c r="F37" s="93"/>
      <c r="G37" s="94"/>
      <c r="H37" s="95"/>
      <c r="I37" s="96"/>
      <c r="J37" s="96"/>
      <c r="K37" s="97"/>
      <c r="N37" s="85"/>
      <c r="O37" s="64"/>
    </row>
    <row r="38" spans="1:15" s="68" customFormat="1" ht="18" customHeight="1">
      <c r="A38" s="67"/>
      <c r="D38" s="92"/>
      <c r="E38" s="68" t="s">
        <v>165</v>
      </c>
      <c r="F38" s="93"/>
      <c r="G38" s="94"/>
      <c r="H38" s="95"/>
      <c r="I38" s="96"/>
      <c r="J38" s="96"/>
      <c r="K38" s="97"/>
      <c r="N38" s="85"/>
      <c r="O38" s="64"/>
    </row>
    <row r="39" spans="1:15" s="68" customFormat="1" ht="18" customHeight="1">
      <c r="A39" s="67"/>
      <c r="D39" s="92"/>
      <c r="E39" s="68" t="s">
        <v>166</v>
      </c>
      <c r="F39" s="93"/>
      <c r="G39" s="94"/>
      <c r="H39" s="95"/>
      <c r="I39" s="96"/>
      <c r="J39" s="96"/>
      <c r="K39" s="97"/>
      <c r="N39" s="85"/>
      <c r="O39" s="64"/>
    </row>
    <row r="40" spans="1:15" s="68" customFormat="1" ht="18" customHeight="1">
      <c r="A40" s="67"/>
      <c r="D40" s="92"/>
      <c r="E40" s="68" t="s">
        <v>167</v>
      </c>
      <c r="F40" s="93"/>
      <c r="G40" s="94"/>
      <c r="H40" s="95"/>
      <c r="I40" s="96"/>
      <c r="J40" s="96"/>
      <c r="K40" s="97"/>
      <c r="N40" s="85"/>
      <c r="O40" s="64"/>
    </row>
    <row r="41" spans="1:15" s="68" customFormat="1" ht="18" customHeight="1">
      <c r="A41" s="67"/>
      <c r="D41" s="86" t="s">
        <v>168</v>
      </c>
      <c r="E41" s="87"/>
      <c r="F41" s="87"/>
      <c r="G41" s="88">
        <v>1</v>
      </c>
      <c r="H41" s="89"/>
      <c r="I41" s="90" t="str">
        <f>IFERROR(AVERAGEIF(H42:H45, "&lt;&gt;0"), "")</f>
        <v/>
      </c>
      <c r="J41" s="90"/>
      <c r="K41" s="91"/>
      <c r="N41" s="85"/>
      <c r="O41" s="64"/>
    </row>
    <row r="42" spans="1:15" s="68" customFormat="1" ht="18" customHeight="1">
      <c r="A42" s="67"/>
      <c r="D42" s="92"/>
      <c r="E42" s="68" t="s">
        <v>169</v>
      </c>
      <c r="F42" s="93"/>
      <c r="G42" s="94"/>
      <c r="H42" s="95"/>
      <c r="I42" s="96"/>
      <c r="J42" s="96"/>
      <c r="K42" s="97"/>
      <c r="N42" s="85"/>
      <c r="O42" s="64"/>
    </row>
    <row r="43" spans="1:15" s="68" customFormat="1" ht="18" customHeight="1">
      <c r="A43" s="67"/>
      <c r="D43" s="92"/>
      <c r="E43" s="68" t="s">
        <v>170</v>
      </c>
      <c r="F43" s="93"/>
      <c r="G43" s="94"/>
      <c r="H43" s="95"/>
      <c r="I43" s="96"/>
      <c r="J43" s="96"/>
      <c r="K43" s="97"/>
      <c r="N43" s="85"/>
      <c r="O43" s="64"/>
    </row>
    <row r="44" spans="1:15" s="68" customFormat="1" ht="18" customHeight="1">
      <c r="A44" s="67"/>
      <c r="D44" s="92"/>
      <c r="E44" s="68" t="s">
        <v>171</v>
      </c>
      <c r="F44" s="93"/>
      <c r="G44" s="94"/>
      <c r="H44" s="95"/>
      <c r="I44" s="96"/>
      <c r="J44" s="96"/>
      <c r="K44" s="97"/>
      <c r="N44" s="85"/>
      <c r="O44" s="64"/>
    </row>
    <row r="45" spans="1:15" s="68" customFormat="1" ht="18" customHeight="1">
      <c r="A45" s="67"/>
      <c r="D45" s="92"/>
      <c r="E45" s="68" t="s">
        <v>172</v>
      </c>
      <c r="F45" s="93"/>
      <c r="G45" s="94"/>
      <c r="H45" s="95"/>
      <c r="I45" s="96"/>
      <c r="J45" s="96"/>
      <c r="K45" s="97"/>
      <c r="N45" s="85"/>
      <c r="O45" s="64"/>
    </row>
    <row r="46" spans="1:15" s="68" customFormat="1" ht="30" customHeight="1" thickBot="1">
      <c r="A46" s="67"/>
      <c r="C46" s="78" t="s">
        <v>173</v>
      </c>
      <c r="D46" s="78"/>
      <c r="E46" s="78"/>
      <c r="F46" s="79">
        <v>2</v>
      </c>
      <c r="G46" s="80"/>
      <c r="H46" s="81"/>
      <c r="I46" s="82"/>
      <c r="J46" s="226" t="str">
        <f>IFERROR(ROUND(IF(N46&lt;=3, (N46-1)/2, 1 + (N46-3)*0.25),2),"")</f>
        <v/>
      </c>
      <c r="K46" s="83"/>
      <c r="L46" s="84"/>
      <c r="M46" s="64"/>
      <c r="N46" s="85" t="str" cm="1">
        <f t="array" ref="N46">IFERROR(SUMPRODUCT(I47:I67,G47:G67)/SUMPRODUCT(--(I47:I67&lt;&gt;""),G47:G67),"")</f>
        <v/>
      </c>
      <c r="O46" s="64" t="e">
        <f>J46-N46</f>
        <v>#VALUE!</v>
      </c>
    </row>
    <row r="47" spans="1:15" s="68" customFormat="1" ht="18" customHeight="1">
      <c r="A47" s="67"/>
      <c r="D47" s="86" t="s">
        <v>174</v>
      </c>
      <c r="E47" s="87"/>
      <c r="F47" s="87"/>
      <c r="G47" s="88">
        <v>1</v>
      </c>
      <c r="H47" s="89"/>
      <c r="I47" s="90" t="str">
        <f>IFERROR(AVERAGEIF(H48:H54, "&lt;&gt;0"), "")</f>
        <v/>
      </c>
      <c r="J47" s="90"/>
      <c r="K47" s="91"/>
      <c r="N47" s="85"/>
      <c r="O47" s="64"/>
    </row>
    <row r="48" spans="1:15" s="68" customFormat="1" ht="18" customHeight="1">
      <c r="A48" s="67"/>
      <c r="D48" s="92"/>
      <c r="E48" s="68" t="s">
        <v>175</v>
      </c>
      <c r="F48" s="93"/>
      <c r="G48" s="94"/>
      <c r="H48" s="95"/>
      <c r="I48" s="96"/>
      <c r="J48" s="96"/>
      <c r="K48" s="97"/>
      <c r="N48" s="85"/>
      <c r="O48" s="64"/>
    </row>
    <row r="49" spans="1:15" s="68" customFormat="1" ht="18" customHeight="1">
      <c r="A49" s="67"/>
      <c r="D49" s="92"/>
      <c r="E49" s="68" t="s">
        <v>176</v>
      </c>
      <c r="F49" s="93"/>
      <c r="G49" s="94"/>
      <c r="H49" s="95"/>
      <c r="I49" s="96"/>
      <c r="J49" s="96"/>
      <c r="K49" s="97"/>
      <c r="N49" s="85"/>
      <c r="O49" s="64"/>
    </row>
    <row r="50" spans="1:15" s="68" customFormat="1" ht="18" customHeight="1">
      <c r="A50" s="67"/>
      <c r="D50" s="92"/>
      <c r="E50" s="68" t="s">
        <v>177</v>
      </c>
      <c r="F50" s="93"/>
      <c r="G50" s="94"/>
      <c r="H50" s="95"/>
      <c r="I50" s="96"/>
      <c r="J50" s="96"/>
      <c r="K50" s="97"/>
      <c r="N50" s="85"/>
      <c r="O50" s="64"/>
    </row>
    <row r="51" spans="1:15" s="68" customFormat="1" ht="18" customHeight="1">
      <c r="A51" s="67"/>
      <c r="D51" s="92"/>
      <c r="E51" s="68" t="s">
        <v>178</v>
      </c>
      <c r="F51" s="93"/>
      <c r="G51" s="94"/>
      <c r="H51" s="95"/>
      <c r="I51" s="96"/>
      <c r="J51" s="96"/>
      <c r="K51" s="97"/>
      <c r="N51" s="85"/>
      <c r="O51" s="64"/>
    </row>
    <row r="52" spans="1:15" s="68" customFormat="1" ht="18" customHeight="1">
      <c r="A52" s="67"/>
      <c r="D52" s="92"/>
      <c r="E52" s="68" t="s">
        <v>179</v>
      </c>
      <c r="F52" s="93"/>
      <c r="G52" s="94"/>
      <c r="H52" s="95"/>
      <c r="I52" s="96"/>
      <c r="J52" s="96"/>
      <c r="K52" s="97"/>
      <c r="N52" s="85"/>
      <c r="O52" s="64"/>
    </row>
    <row r="53" spans="1:15" s="68" customFormat="1" ht="18" customHeight="1">
      <c r="A53" s="67"/>
      <c r="D53" s="92"/>
      <c r="E53" s="68" t="s">
        <v>180</v>
      </c>
      <c r="F53" s="93"/>
      <c r="G53" s="94"/>
      <c r="H53" s="95"/>
      <c r="I53" s="96"/>
      <c r="J53" s="96"/>
      <c r="K53" s="97"/>
      <c r="N53" s="85"/>
      <c r="O53" s="64"/>
    </row>
    <row r="54" spans="1:15" s="68" customFormat="1" ht="18" customHeight="1">
      <c r="A54" s="67"/>
      <c r="D54" s="92"/>
      <c r="E54" s="68" t="s">
        <v>181</v>
      </c>
      <c r="F54" s="93"/>
      <c r="G54" s="94"/>
      <c r="H54" s="95"/>
      <c r="I54" s="96"/>
      <c r="J54" s="96"/>
      <c r="K54" s="97"/>
      <c r="N54" s="85"/>
      <c r="O54" s="64"/>
    </row>
    <row r="55" spans="1:15" s="68" customFormat="1" ht="18" customHeight="1">
      <c r="A55" s="67"/>
      <c r="D55" s="86" t="s">
        <v>182</v>
      </c>
      <c r="E55" s="87"/>
      <c r="F55" s="87"/>
      <c r="G55" s="88">
        <v>2</v>
      </c>
      <c r="H55" s="89"/>
      <c r="I55" s="90" t="str">
        <f>IFERROR(AVERAGEIF(H56:H61, "&lt;&gt;0"), "")</f>
        <v/>
      </c>
      <c r="J55" s="90"/>
      <c r="K55" s="91"/>
      <c r="N55" s="85"/>
      <c r="O55" s="64"/>
    </row>
    <row r="56" spans="1:15" s="68" customFormat="1" ht="18" customHeight="1">
      <c r="A56" s="67"/>
      <c r="D56" s="92"/>
      <c r="E56" s="68" t="s">
        <v>183</v>
      </c>
      <c r="F56" s="93"/>
      <c r="G56" s="94"/>
      <c r="H56" s="95"/>
      <c r="I56" s="96"/>
      <c r="J56" s="96"/>
      <c r="K56" s="97"/>
      <c r="N56" s="85"/>
      <c r="O56" s="64"/>
    </row>
    <row r="57" spans="1:15" s="68" customFormat="1" ht="18" customHeight="1">
      <c r="A57" s="67"/>
      <c r="D57" s="92"/>
      <c r="E57" s="68" t="s">
        <v>184</v>
      </c>
      <c r="F57" s="93"/>
      <c r="G57" s="94"/>
      <c r="H57" s="95"/>
      <c r="I57" s="96"/>
      <c r="J57" s="96"/>
      <c r="K57" s="97"/>
      <c r="N57" s="85"/>
      <c r="O57" s="64"/>
    </row>
    <row r="58" spans="1:15" s="68" customFormat="1" ht="18" customHeight="1">
      <c r="A58" s="67"/>
      <c r="D58" s="92"/>
      <c r="E58" s="68" t="s">
        <v>185</v>
      </c>
      <c r="F58" s="93"/>
      <c r="G58" s="94"/>
      <c r="H58" s="95"/>
      <c r="I58" s="96"/>
      <c r="J58" s="96"/>
      <c r="K58" s="97"/>
      <c r="N58" s="85"/>
      <c r="O58" s="64"/>
    </row>
    <row r="59" spans="1:15" s="68" customFormat="1" ht="18" customHeight="1">
      <c r="A59" s="67"/>
      <c r="D59" s="92"/>
      <c r="E59" s="68" t="s">
        <v>186</v>
      </c>
      <c r="F59" s="93"/>
      <c r="G59" s="94"/>
      <c r="H59" s="95"/>
      <c r="I59" s="96"/>
      <c r="J59" s="96"/>
      <c r="K59" s="97"/>
      <c r="N59" s="85"/>
      <c r="O59" s="64"/>
    </row>
    <row r="60" spans="1:15" s="68" customFormat="1" ht="18" customHeight="1">
      <c r="A60" s="67"/>
      <c r="D60" s="92"/>
      <c r="E60" s="68" t="s">
        <v>187</v>
      </c>
      <c r="F60" s="93"/>
      <c r="G60" s="94"/>
      <c r="H60" s="95"/>
      <c r="I60" s="96"/>
      <c r="J60" s="96"/>
      <c r="K60" s="97"/>
      <c r="N60" s="85"/>
      <c r="O60" s="64"/>
    </row>
    <row r="61" spans="1:15" s="68" customFormat="1" ht="18" customHeight="1">
      <c r="A61" s="67"/>
      <c r="D61" s="92"/>
      <c r="E61" s="68" t="s">
        <v>188</v>
      </c>
      <c r="F61" s="93"/>
      <c r="G61" s="94"/>
      <c r="H61" s="95"/>
      <c r="I61" s="96"/>
      <c r="J61" s="96"/>
      <c r="K61" s="97"/>
      <c r="N61" s="85"/>
      <c r="O61" s="64"/>
    </row>
    <row r="62" spans="1:15" s="68" customFormat="1" ht="18" customHeight="1">
      <c r="A62" s="67"/>
      <c r="D62" s="86" t="s">
        <v>189</v>
      </c>
      <c r="E62" s="87"/>
      <c r="F62" s="87"/>
      <c r="G62" s="88">
        <v>1</v>
      </c>
      <c r="H62" s="89"/>
      <c r="I62" s="90" t="str">
        <f>IFERROR(AVERAGEIF(H63:H67, "&lt;&gt;0"), "")</f>
        <v/>
      </c>
      <c r="J62" s="90"/>
      <c r="K62" s="91"/>
      <c r="N62" s="85"/>
      <c r="O62" s="64"/>
    </row>
    <row r="63" spans="1:15" s="68" customFormat="1" ht="18" customHeight="1">
      <c r="A63" s="67"/>
      <c r="D63" s="92"/>
      <c r="E63" s="68" t="s">
        <v>190</v>
      </c>
      <c r="F63" s="93"/>
      <c r="G63" s="94"/>
      <c r="H63" s="95"/>
      <c r="I63" s="96"/>
      <c r="J63" s="96"/>
      <c r="K63" s="97"/>
      <c r="N63" s="85"/>
      <c r="O63" s="64"/>
    </row>
    <row r="64" spans="1:15" s="68" customFormat="1" ht="18" customHeight="1">
      <c r="A64" s="67"/>
      <c r="D64" s="92"/>
      <c r="E64" s="68" t="s">
        <v>191</v>
      </c>
      <c r="F64" s="93"/>
      <c r="G64" s="94"/>
      <c r="H64" s="95"/>
      <c r="I64" s="96"/>
      <c r="J64" s="96"/>
      <c r="K64" s="97"/>
      <c r="N64" s="85"/>
      <c r="O64" s="64"/>
    </row>
    <row r="65" spans="1:15" s="68" customFormat="1" ht="18" customHeight="1">
      <c r="A65" s="67"/>
      <c r="D65" s="92"/>
      <c r="E65" s="68" t="s">
        <v>192</v>
      </c>
      <c r="F65" s="93"/>
      <c r="G65" s="94"/>
      <c r="H65" s="95"/>
      <c r="I65" s="96"/>
      <c r="J65" s="96"/>
      <c r="K65" s="97"/>
      <c r="N65" s="85"/>
      <c r="O65" s="64"/>
    </row>
    <row r="66" spans="1:15" s="68" customFormat="1" ht="18" customHeight="1">
      <c r="A66" s="67"/>
      <c r="D66" s="92"/>
      <c r="E66" s="68" t="s">
        <v>193</v>
      </c>
      <c r="F66" s="93"/>
      <c r="G66" s="94"/>
      <c r="H66" s="95"/>
      <c r="I66" s="96"/>
      <c r="J66" s="96"/>
      <c r="K66" s="97"/>
      <c r="N66" s="85"/>
      <c r="O66" s="64"/>
    </row>
    <row r="67" spans="1:15" s="68" customFormat="1" ht="18" customHeight="1">
      <c r="A67" s="67"/>
      <c r="D67" s="92"/>
      <c r="E67" s="68" t="s">
        <v>194</v>
      </c>
      <c r="F67" s="93"/>
      <c r="G67" s="94"/>
      <c r="H67" s="95"/>
      <c r="I67" s="96"/>
      <c r="J67" s="96"/>
      <c r="K67" s="97"/>
      <c r="N67" s="85"/>
      <c r="O67" s="64"/>
    </row>
    <row r="68" spans="1:15" s="68" customFormat="1" ht="30" customHeight="1" thickBot="1">
      <c r="A68" s="67"/>
      <c r="C68" s="78" t="s">
        <v>195</v>
      </c>
      <c r="D68" s="78"/>
      <c r="E68" s="78"/>
      <c r="F68" s="79">
        <v>2</v>
      </c>
      <c r="G68" s="80"/>
      <c r="H68" s="81"/>
      <c r="I68" s="82"/>
      <c r="J68" s="226" t="str">
        <f>IFERROR(ROUND(IF(N68&lt;=3, (N68-1)/2, 1 + (N68-3)*0.25),2),"")</f>
        <v/>
      </c>
      <c r="K68" s="83"/>
      <c r="L68" s="84"/>
      <c r="M68" s="64"/>
      <c r="N68" s="85" t="str" cm="1">
        <f t="array" ref="N68">IFERROR(SUMPRODUCT(I69:I91,G69:G91)/SUMPRODUCT(--(I69:I91&lt;&gt;""),G69:G91),"")</f>
        <v/>
      </c>
      <c r="O68" s="64" t="e">
        <f>J68-N68</f>
        <v>#VALUE!</v>
      </c>
    </row>
    <row r="69" spans="1:15" s="68" customFormat="1" ht="18" customHeight="1">
      <c r="A69" s="67"/>
      <c r="D69" s="86" t="s">
        <v>196</v>
      </c>
      <c r="E69" s="87"/>
      <c r="F69" s="87"/>
      <c r="G69" s="88">
        <v>1</v>
      </c>
      <c r="H69" s="89"/>
      <c r="I69" s="90" t="str">
        <f>IFERROR(AVERAGEIF(H70:H75, "&lt;&gt;0"), "")</f>
        <v/>
      </c>
      <c r="J69" s="90"/>
      <c r="K69" s="91"/>
      <c r="N69" s="85"/>
      <c r="O69" s="64"/>
    </row>
    <row r="70" spans="1:15" s="68" customFormat="1" ht="18" customHeight="1">
      <c r="A70" s="67"/>
      <c r="D70" s="92"/>
      <c r="E70" s="68" t="s">
        <v>197</v>
      </c>
      <c r="F70" s="93"/>
      <c r="G70" s="94"/>
      <c r="H70" s="95"/>
      <c r="I70" s="96"/>
      <c r="J70" s="96"/>
      <c r="K70" s="97"/>
      <c r="N70" s="85"/>
      <c r="O70" s="64"/>
    </row>
    <row r="71" spans="1:15" s="68" customFormat="1" ht="18" customHeight="1">
      <c r="A71" s="67"/>
      <c r="D71" s="92"/>
      <c r="E71" s="68" t="s">
        <v>198</v>
      </c>
      <c r="F71" s="93"/>
      <c r="G71" s="94"/>
      <c r="H71" s="95"/>
      <c r="I71" s="96"/>
      <c r="J71" s="96"/>
      <c r="K71" s="97"/>
      <c r="N71" s="85"/>
      <c r="O71" s="64"/>
    </row>
    <row r="72" spans="1:15" s="68" customFormat="1" ht="18" customHeight="1">
      <c r="A72" s="67"/>
      <c r="D72" s="92"/>
      <c r="E72" s="68" t="s">
        <v>199</v>
      </c>
      <c r="F72" s="93"/>
      <c r="G72" s="94"/>
      <c r="H72" s="95"/>
      <c r="I72" s="96"/>
      <c r="J72" s="96"/>
      <c r="K72" s="97"/>
      <c r="N72" s="85"/>
      <c r="O72" s="64"/>
    </row>
    <row r="73" spans="1:15" s="68" customFormat="1" ht="18" customHeight="1">
      <c r="A73" s="67"/>
      <c r="D73" s="92"/>
      <c r="E73" s="68" t="s">
        <v>200</v>
      </c>
      <c r="F73" s="93"/>
      <c r="G73" s="94"/>
      <c r="H73" s="95"/>
      <c r="I73" s="96"/>
      <c r="J73" s="96"/>
      <c r="K73" s="97"/>
      <c r="N73" s="85"/>
      <c r="O73" s="64"/>
    </row>
    <row r="74" spans="1:15" s="68" customFormat="1" ht="18" customHeight="1">
      <c r="A74" s="67"/>
      <c r="D74" s="92"/>
      <c r="E74" s="68" t="s">
        <v>201</v>
      </c>
      <c r="F74" s="93"/>
      <c r="G74" s="94"/>
      <c r="H74" s="95"/>
      <c r="I74" s="96"/>
      <c r="J74" s="96"/>
      <c r="K74" s="97"/>
      <c r="N74" s="85"/>
      <c r="O74" s="64"/>
    </row>
    <row r="75" spans="1:15" s="68" customFormat="1" ht="18" customHeight="1">
      <c r="A75" s="67"/>
      <c r="D75" s="92"/>
      <c r="E75" s="68" t="s">
        <v>202</v>
      </c>
      <c r="F75" s="93"/>
      <c r="G75" s="94"/>
      <c r="H75" s="95"/>
      <c r="I75" s="96"/>
      <c r="J75" s="96"/>
      <c r="K75" s="97"/>
      <c r="N75" s="85"/>
      <c r="O75" s="64"/>
    </row>
    <row r="76" spans="1:15" s="68" customFormat="1" ht="18" customHeight="1">
      <c r="A76" s="67"/>
      <c r="D76" s="86" t="s">
        <v>203</v>
      </c>
      <c r="E76" s="87"/>
      <c r="F76" s="87"/>
      <c r="G76" s="88">
        <v>1</v>
      </c>
      <c r="H76" s="89"/>
      <c r="I76" s="90" t="str">
        <f>IFERROR(AVERAGEIF(H77:H84, "&lt;&gt;0"), "")</f>
        <v/>
      </c>
      <c r="J76" s="90"/>
      <c r="K76" s="91"/>
      <c r="N76" s="85"/>
      <c r="O76" s="64"/>
    </row>
    <row r="77" spans="1:15" s="68" customFormat="1" ht="18" customHeight="1">
      <c r="A77" s="67"/>
      <c r="D77" s="92"/>
      <c r="E77" s="68" t="s">
        <v>204</v>
      </c>
      <c r="F77" s="93"/>
      <c r="G77" s="94"/>
      <c r="H77" s="95"/>
      <c r="I77" s="96"/>
      <c r="J77" s="96"/>
      <c r="K77" s="97"/>
      <c r="N77" s="85"/>
      <c r="O77" s="64"/>
    </row>
    <row r="78" spans="1:15" s="68" customFormat="1" ht="18" customHeight="1">
      <c r="A78" s="67"/>
      <c r="D78" s="92"/>
      <c r="E78" s="68" t="s">
        <v>205</v>
      </c>
      <c r="F78" s="93"/>
      <c r="G78" s="94"/>
      <c r="H78" s="95"/>
      <c r="I78" s="96"/>
      <c r="J78" s="96"/>
      <c r="K78" s="97"/>
      <c r="N78" s="85"/>
      <c r="O78" s="64"/>
    </row>
    <row r="79" spans="1:15" s="68" customFormat="1" ht="18" customHeight="1">
      <c r="A79" s="67"/>
      <c r="D79" s="92"/>
      <c r="E79" s="68" t="s">
        <v>206</v>
      </c>
      <c r="F79" s="93"/>
      <c r="G79" s="94"/>
      <c r="H79" s="95"/>
      <c r="I79" s="96"/>
      <c r="J79" s="96"/>
      <c r="K79" s="97"/>
      <c r="N79" s="85"/>
      <c r="O79" s="64"/>
    </row>
    <row r="80" spans="1:15" s="68" customFormat="1" ht="18" customHeight="1">
      <c r="A80" s="67"/>
      <c r="D80" s="92"/>
      <c r="E80" s="68" t="s">
        <v>207</v>
      </c>
      <c r="F80" s="93"/>
      <c r="G80" s="94"/>
      <c r="H80" s="95"/>
      <c r="I80" s="96"/>
      <c r="J80" s="96"/>
      <c r="K80" s="97"/>
      <c r="N80" s="85"/>
      <c r="O80" s="64"/>
    </row>
    <row r="81" spans="1:15" s="68" customFormat="1" ht="18" customHeight="1">
      <c r="A81" s="67"/>
      <c r="D81" s="92"/>
      <c r="E81" s="68" t="s">
        <v>208</v>
      </c>
      <c r="F81" s="93"/>
      <c r="G81" s="94"/>
      <c r="H81" s="95"/>
      <c r="I81" s="96"/>
      <c r="J81" s="96"/>
      <c r="K81" s="97"/>
      <c r="N81" s="85"/>
      <c r="O81" s="64"/>
    </row>
    <row r="82" spans="1:15" s="68" customFormat="1" ht="18" customHeight="1">
      <c r="A82" s="67"/>
      <c r="D82" s="92"/>
      <c r="E82" s="68" t="s">
        <v>209</v>
      </c>
      <c r="F82" s="93"/>
      <c r="G82" s="94"/>
      <c r="H82" s="95"/>
      <c r="I82" s="96"/>
      <c r="J82" s="96"/>
      <c r="K82" s="97"/>
      <c r="N82" s="85"/>
      <c r="O82" s="64"/>
    </row>
    <row r="83" spans="1:15" s="68" customFormat="1" ht="18" customHeight="1">
      <c r="A83" s="67"/>
      <c r="D83" s="92"/>
      <c r="E83" s="68" t="s">
        <v>210</v>
      </c>
      <c r="F83" s="93"/>
      <c r="G83" s="94"/>
      <c r="H83" s="95"/>
      <c r="I83" s="96"/>
      <c r="J83" s="96"/>
      <c r="K83" s="97"/>
      <c r="N83" s="85"/>
      <c r="O83" s="64"/>
    </row>
    <row r="84" spans="1:15" s="68" customFormat="1" ht="18" customHeight="1">
      <c r="A84" s="67"/>
      <c r="D84" s="92"/>
      <c r="E84" s="68" t="s">
        <v>211</v>
      </c>
      <c r="F84" s="93"/>
      <c r="G84" s="94"/>
      <c r="H84" s="95"/>
      <c r="I84" s="96"/>
      <c r="J84" s="96"/>
      <c r="K84" s="97"/>
      <c r="N84" s="85"/>
      <c r="O84" s="64"/>
    </row>
    <row r="85" spans="1:15" s="68" customFormat="1" ht="18" customHeight="1">
      <c r="A85" s="67"/>
      <c r="D85" s="86" t="s">
        <v>212</v>
      </c>
      <c r="E85" s="87"/>
      <c r="F85" s="87"/>
      <c r="G85" s="88">
        <v>1</v>
      </c>
      <c r="H85" s="89"/>
      <c r="I85" s="90" t="str">
        <f>IFERROR(AVERAGEIF(H86:H91, "&lt;&gt;0"), "")</f>
        <v/>
      </c>
      <c r="J85" s="90"/>
      <c r="K85" s="91"/>
      <c r="N85" s="85"/>
      <c r="O85" s="64"/>
    </row>
    <row r="86" spans="1:15" s="68" customFormat="1" ht="18" customHeight="1">
      <c r="A86" s="67"/>
      <c r="D86" s="92"/>
      <c r="E86" s="68" t="s">
        <v>213</v>
      </c>
      <c r="F86" s="93"/>
      <c r="G86" s="94"/>
      <c r="H86" s="95"/>
      <c r="I86" s="96"/>
      <c r="J86" s="96"/>
      <c r="K86" s="97"/>
      <c r="N86" s="85"/>
      <c r="O86" s="64"/>
    </row>
    <row r="87" spans="1:15" s="68" customFormat="1" ht="18" customHeight="1">
      <c r="A87" s="67"/>
      <c r="D87" s="92"/>
      <c r="E87" s="68" t="s">
        <v>214</v>
      </c>
      <c r="F87" s="93"/>
      <c r="G87" s="94"/>
      <c r="H87" s="95"/>
      <c r="I87" s="96"/>
      <c r="J87" s="96"/>
      <c r="K87" s="97"/>
      <c r="N87" s="85"/>
      <c r="O87" s="64"/>
    </row>
    <row r="88" spans="1:15" s="68" customFormat="1" ht="18" customHeight="1">
      <c r="A88" s="67"/>
      <c r="D88" s="92"/>
      <c r="E88" s="68" t="s">
        <v>215</v>
      </c>
      <c r="F88" s="93"/>
      <c r="G88" s="94"/>
      <c r="H88" s="95"/>
      <c r="I88" s="96"/>
      <c r="J88" s="96"/>
      <c r="K88" s="97"/>
      <c r="N88" s="85"/>
      <c r="O88" s="64"/>
    </row>
    <row r="89" spans="1:15" s="68" customFormat="1" ht="18" customHeight="1">
      <c r="A89" s="67"/>
      <c r="D89" s="92"/>
      <c r="E89" s="68" t="s">
        <v>207</v>
      </c>
      <c r="F89" s="93"/>
      <c r="G89" s="94"/>
      <c r="H89" s="95"/>
      <c r="I89" s="96"/>
      <c r="J89" s="96"/>
      <c r="K89" s="97"/>
      <c r="N89" s="85"/>
      <c r="O89" s="64"/>
    </row>
    <row r="90" spans="1:15" s="68" customFormat="1" ht="18" customHeight="1">
      <c r="A90" s="67"/>
      <c r="D90" s="92"/>
      <c r="E90" s="68" t="s">
        <v>208</v>
      </c>
      <c r="F90" s="93"/>
      <c r="G90" s="94"/>
      <c r="H90" s="95"/>
      <c r="I90" s="96"/>
      <c r="J90" s="96"/>
      <c r="K90" s="97"/>
      <c r="N90" s="85"/>
      <c r="O90" s="64"/>
    </row>
    <row r="91" spans="1:15" s="68" customFormat="1" ht="18" customHeight="1">
      <c r="A91" s="67"/>
      <c r="D91" s="92"/>
      <c r="E91" s="68" t="s">
        <v>209</v>
      </c>
      <c r="F91" s="93"/>
      <c r="G91" s="94"/>
      <c r="H91" s="95"/>
      <c r="I91" s="96"/>
      <c r="J91" s="96"/>
      <c r="K91" s="97"/>
      <c r="N91" s="85"/>
      <c r="O91" s="64"/>
    </row>
    <row r="92" spans="1:15" s="68" customFormat="1" ht="30" customHeight="1" thickBot="1">
      <c r="A92" s="67"/>
      <c r="C92" s="78" t="s">
        <v>216</v>
      </c>
      <c r="D92" s="78"/>
      <c r="E92" s="78"/>
      <c r="F92" s="79">
        <v>1</v>
      </c>
      <c r="G92" s="80"/>
      <c r="H92" s="81"/>
      <c r="I92" s="82"/>
      <c r="J92" s="226" t="str">
        <f>IFERROR(ROUND(IF(N92&lt;=3, (N92-1)/2, 1 + (N92-3)*0.25),2),"")</f>
        <v/>
      </c>
      <c r="K92" s="83"/>
      <c r="L92" s="84"/>
      <c r="M92" s="64"/>
      <c r="N92" s="85" t="str" cm="1">
        <f t="array" ref="N92">IFERROR(SUMPRODUCT(I93:I106,G93:G106)/SUMPRODUCT(--(I93:I106&lt;&gt;""),G93:G106),"")</f>
        <v/>
      </c>
      <c r="O92" s="64" t="e">
        <f>J92-N92</f>
        <v>#VALUE!</v>
      </c>
    </row>
    <row r="93" spans="1:15" s="68" customFormat="1" ht="18" customHeight="1">
      <c r="A93" s="67"/>
      <c r="D93" s="86" t="s">
        <v>217</v>
      </c>
      <c r="E93" s="87"/>
      <c r="F93" s="87"/>
      <c r="G93" s="88">
        <v>2</v>
      </c>
      <c r="H93" s="89"/>
      <c r="I93" s="90" t="str">
        <f>IFERROR(AVERAGEIF(H94:H98, "&lt;&gt;0"), "")</f>
        <v/>
      </c>
      <c r="J93" s="90"/>
      <c r="K93" s="91"/>
      <c r="N93" s="85"/>
      <c r="O93" s="64"/>
    </row>
    <row r="94" spans="1:15" s="68" customFormat="1" ht="18" customHeight="1">
      <c r="A94" s="67"/>
      <c r="D94" s="92"/>
      <c r="E94" s="68" t="s">
        <v>218</v>
      </c>
      <c r="F94" s="93"/>
      <c r="G94" s="94"/>
      <c r="H94" s="95"/>
      <c r="I94" s="96"/>
      <c r="J94" s="96"/>
      <c r="K94" s="97"/>
      <c r="N94" s="85"/>
      <c r="O94" s="64"/>
    </row>
    <row r="95" spans="1:15" s="68" customFormat="1" ht="18" customHeight="1">
      <c r="A95" s="67"/>
      <c r="D95" s="92"/>
      <c r="E95" s="68" t="s">
        <v>219</v>
      </c>
      <c r="F95" s="93"/>
      <c r="G95" s="94"/>
      <c r="H95" s="95"/>
      <c r="I95" s="96"/>
      <c r="J95" s="96"/>
      <c r="K95" s="97"/>
      <c r="N95" s="85"/>
      <c r="O95" s="64"/>
    </row>
    <row r="96" spans="1:15" s="68" customFormat="1" ht="18" customHeight="1">
      <c r="A96" s="67"/>
      <c r="D96" s="92"/>
      <c r="E96" s="68" t="s">
        <v>220</v>
      </c>
      <c r="F96" s="93"/>
      <c r="G96" s="94"/>
      <c r="H96" s="95"/>
      <c r="I96" s="96"/>
      <c r="J96" s="96"/>
      <c r="K96" s="97"/>
      <c r="N96" s="85"/>
      <c r="O96" s="64"/>
    </row>
    <row r="97" spans="1:15" s="68" customFormat="1" ht="18" customHeight="1">
      <c r="A97" s="67"/>
      <c r="D97" s="92"/>
      <c r="E97" s="68" t="s">
        <v>221</v>
      </c>
      <c r="F97" s="93"/>
      <c r="G97" s="94"/>
      <c r="H97" s="95"/>
      <c r="I97" s="96"/>
      <c r="J97" s="96"/>
      <c r="K97" s="97"/>
      <c r="N97" s="85"/>
      <c r="O97" s="64"/>
    </row>
    <row r="98" spans="1:15" s="68" customFormat="1" ht="18" customHeight="1">
      <c r="A98" s="67"/>
      <c r="D98" s="92"/>
      <c r="E98" s="68" t="s">
        <v>222</v>
      </c>
      <c r="F98" s="93"/>
      <c r="G98" s="94"/>
      <c r="H98" s="95"/>
      <c r="I98" s="96"/>
      <c r="J98" s="96"/>
      <c r="K98" s="97"/>
      <c r="N98" s="85"/>
      <c r="O98" s="64"/>
    </row>
    <row r="99" spans="1:15" s="68" customFormat="1" ht="18" customHeight="1">
      <c r="A99" s="67"/>
      <c r="D99" s="86" t="s">
        <v>223</v>
      </c>
      <c r="E99" s="87"/>
      <c r="F99" s="87"/>
      <c r="G99" s="88">
        <v>2</v>
      </c>
      <c r="H99" s="89"/>
      <c r="I99" s="90" t="str">
        <f>IFERROR(AVERAGEIF(H100:H102, "&lt;&gt;0"), "")</f>
        <v/>
      </c>
      <c r="J99" s="90"/>
      <c r="K99" s="91"/>
      <c r="N99" s="85"/>
      <c r="O99" s="64"/>
    </row>
    <row r="100" spans="1:15" s="68" customFormat="1" ht="18" customHeight="1">
      <c r="A100" s="67"/>
      <c r="D100" s="92"/>
      <c r="E100" s="68" t="s">
        <v>224</v>
      </c>
      <c r="F100" s="93"/>
      <c r="G100" s="94"/>
      <c r="H100" s="95"/>
      <c r="I100" s="96"/>
      <c r="J100" s="96"/>
      <c r="K100" s="98"/>
      <c r="N100" s="85"/>
      <c r="O100" s="64"/>
    </row>
    <row r="101" spans="1:15" s="68" customFormat="1" ht="18" customHeight="1">
      <c r="A101" s="67"/>
      <c r="D101" s="92"/>
      <c r="E101" s="68" t="s">
        <v>225</v>
      </c>
      <c r="F101" s="93"/>
      <c r="G101" s="94"/>
      <c r="H101" s="95"/>
      <c r="I101" s="96"/>
      <c r="J101" s="96"/>
      <c r="K101" s="97"/>
      <c r="N101" s="85"/>
      <c r="O101" s="64"/>
    </row>
    <row r="102" spans="1:15" s="68" customFormat="1" ht="18" customHeight="1">
      <c r="A102" s="67"/>
      <c r="D102" s="92"/>
      <c r="E102" s="68" t="s">
        <v>226</v>
      </c>
      <c r="F102" s="93"/>
      <c r="G102" s="94"/>
      <c r="H102" s="95"/>
      <c r="I102" s="96"/>
      <c r="J102" s="96"/>
      <c r="K102" s="99"/>
      <c r="N102" s="85"/>
      <c r="O102" s="64"/>
    </row>
    <row r="103" spans="1:15" s="68" customFormat="1" ht="18" customHeight="1">
      <c r="A103" s="67"/>
      <c r="D103" s="86" t="s">
        <v>227</v>
      </c>
      <c r="E103" s="87"/>
      <c r="F103" s="87"/>
      <c r="G103" s="88">
        <v>1</v>
      </c>
      <c r="H103" s="89"/>
      <c r="I103" s="90" t="str">
        <f>IFERROR(AVERAGEIF(H104:H106, "&lt;&gt;0"), "")</f>
        <v/>
      </c>
      <c r="J103" s="90"/>
      <c r="K103" s="91"/>
      <c r="N103" s="85"/>
      <c r="O103" s="64"/>
    </row>
    <row r="104" spans="1:15" s="68" customFormat="1" ht="18" customHeight="1">
      <c r="A104" s="67"/>
      <c r="D104" s="92"/>
      <c r="E104" s="68" t="s">
        <v>228</v>
      </c>
      <c r="F104" s="93"/>
      <c r="G104" s="94"/>
      <c r="H104" s="95"/>
      <c r="I104" s="96"/>
      <c r="J104" s="96"/>
      <c r="K104" s="98"/>
      <c r="N104" s="85"/>
      <c r="O104" s="64"/>
    </row>
    <row r="105" spans="1:15" s="68" customFormat="1" ht="18" customHeight="1">
      <c r="A105" s="67"/>
      <c r="D105" s="92"/>
      <c r="E105" s="68" t="s">
        <v>229</v>
      </c>
      <c r="F105" s="93"/>
      <c r="G105" s="94"/>
      <c r="H105" s="95"/>
      <c r="I105" s="96"/>
      <c r="J105" s="96"/>
      <c r="K105" s="97"/>
      <c r="N105" s="85"/>
      <c r="O105" s="64"/>
    </row>
    <row r="106" spans="1:15" s="68" customFormat="1" ht="18" customHeight="1">
      <c r="A106" s="67"/>
      <c r="D106" s="92"/>
      <c r="E106" s="68" t="s">
        <v>230</v>
      </c>
      <c r="F106" s="93"/>
      <c r="G106" s="94"/>
      <c r="H106" s="95"/>
      <c r="I106" s="96"/>
      <c r="J106" s="96"/>
      <c r="K106" s="99"/>
      <c r="N106" s="85"/>
      <c r="O106" s="64"/>
    </row>
    <row r="107" spans="1:15" s="68" customFormat="1" ht="30" customHeight="1" thickBot="1">
      <c r="A107" s="67"/>
      <c r="C107" s="78" t="s">
        <v>231</v>
      </c>
      <c r="D107" s="78"/>
      <c r="E107" s="78"/>
      <c r="F107" s="79">
        <v>1</v>
      </c>
      <c r="G107" s="80"/>
      <c r="H107" s="81"/>
      <c r="I107" s="82"/>
      <c r="J107" s="226" t="str">
        <f>IFERROR(ROUND(IF(N107&lt;=3, (N107-1)/2, 1 + (N107-3)*0.25),2),"")</f>
        <v/>
      </c>
      <c r="K107" s="83"/>
      <c r="L107" s="84"/>
      <c r="M107" s="64"/>
      <c r="N107" s="217" t="str" cm="1">
        <f t="array" ref="N107">IFERROR(SUMPRODUCT(I108:I120,G108:G120)/SUMPRODUCT(--(I108:I120&lt;&gt;""),G108:G120),"")</f>
        <v/>
      </c>
      <c r="O107" s="64" t="e">
        <f>J107-N107</f>
        <v>#VALUE!</v>
      </c>
    </row>
    <row r="108" spans="1:15" s="68" customFormat="1" ht="18" customHeight="1">
      <c r="A108" s="67"/>
      <c r="D108" s="86" t="s">
        <v>232</v>
      </c>
      <c r="E108" s="87"/>
      <c r="F108" s="87"/>
      <c r="G108" s="88">
        <v>1</v>
      </c>
      <c r="H108" s="89"/>
      <c r="I108" s="90" t="str">
        <f>IFERROR(AVERAGEIF(H109:H114, "&lt;&gt;0"), "")</f>
        <v/>
      </c>
      <c r="J108" s="90"/>
      <c r="K108" s="91"/>
      <c r="N108" s="85"/>
      <c r="O108" s="64"/>
    </row>
    <row r="109" spans="1:15" s="68" customFormat="1" ht="18" customHeight="1">
      <c r="A109" s="67"/>
      <c r="D109" s="92"/>
      <c r="E109" s="68" t="s">
        <v>233</v>
      </c>
      <c r="F109" s="93"/>
      <c r="G109" s="94"/>
      <c r="H109" s="95"/>
      <c r="I109" s="96"/>
      <c r="J109" s="96"/>
      <c r="K109" s="97"/>
      <c r="N109" s="85"/>
      <c r="O109" s="64"/>
    </row>
    <row r="110" spans="1:15" s="68" customFormat="1" ht="18" customHeight="1">
      <c r="A110" s="67"/>
      <c r="D110" s="92"/>
      <c r="E110" s="68" t="s">
        <v>221</v>
      </c>
      <c r="F110" s="93"/>
      <c r="G110" s="94"/>
      <c r="H110" s="95"/>
      <c r="I110" s="96"/>
      <c r="J110" s="96"/>
      <c r="K110" s="97"/>
      <c r="N110" s="85"/>
      <c r="O110" s="64"/>
    </row>
    <row r="111" spans="1:15" s="68" customFormat="1" ht="18" customHeight="1">
      <c r="A111" s="67"/>
      <c r="D111" s="92"/>
      <c r="E111" s="68" t="s">
        <v>234</v>
      </c>
      <c r="F111" s="93"/>
      <c r="G111" s="94"/>
      <c r="H111" s="95"/>
      <c r="I111" s="96"/>
      <c r="J111" s="96"/>
      <c r="K111" s="97"/>
      <c r="N111" s="85"/>
      <c r="O111" s="64"/>
    </row>
    <row r="112" spans="1:15" s="68" customFormat="1" ht="18" customHeight="1">
      <c r="A112" s="67"/>
      <c r="D112" s="92"/>
      <c r="E112" s="68" t="s">
        <v>235</v>
      </c>
      <c r="F112" s="93"/>
      <c r="G112" s="94"/>
      <c r="H112" s="95"/>
      <c r="I112" s="96"/>
      <c r="J112" s="96"/>
      <c r="K112" s="97"/>
      <c r="N112" s="85"/>
      <c r="O112" s="64"/>
    </row>
    <row r="113" spans="1:15" s="68" customFormat="1" ht="18" customHeight="1">
      <c r="A113" s="67"/>
      <c r="D113" s="92"/>
      <c r="E113" s="68" t="s">
        <v>236</v>
      </c>
      <c r="F113" s="93"/>
      <c r="G113" s="94"/>
      <c r="H113" s="95"/>
      <c r="I113" s="96"/>
      <c r="J113" s="96"/>
      <c r="K113" s="97"/>
      <c r="N113" s="85"/>
      <c r="O113" s="64"/>
    </row>
    <row r="114" spans="1:15" s="68" customFormat="1" ht="18" customHeight="1">
      <c r="A114" s="67"/>
      <c r="D114" s="92"/>
      <c r="E114" s="68" t="s">
        <v>237</v>
      </c>
      <c r="F114" s="93"/>
      <c r="G114" s="94"/>
      <c r="H114" s="95"/>
      <c r="I114" s="96"/>
      <c r="J114" s="96"/>
      <c r="K114" s="97"/>
      <c r="N114" s="85"/>
      <c r="O114" s="64"/>
    </row>
    <row r="115" spans="1:15" s="68" customFormat="1" ht="18" customHeight="1">
      <c r="A115" s="67"/>
      <c r="D115" s="86" t="s">
        <v>238</v>
      </c>
      <c r="E115" s="87"/>
      <c r="F115" s="87"/>
      <c r="G115" s="88">
        <v>1</v>
      </c>
      <c r="H115" s="89"/>
      <c r="I115" s="90" t="str">
        <f>IFERROR(AVERAGEIF(H116:H120, "&lt;&gt;0"), "")</f>
        <v/>
      </c>
      <c r="J115" s="90"/>
      <c r="K115" s="91"/>
      <c r="N115" s="85"/>
      <c r="O115" s="64"/>
    </row>
    <row r="116" spans="1:15" s="68" customFormat="1" ht="18" customHeight="1">
      <c r="A116" s="67"/>
      <c r="D116" s="92"/>
      <c r="E116" s="68" t="s">
        <v>190</v>
      </c>
      <c r="F116" s="93"/>
      <c r="G116" s="94"/>
      <c r="H116" s="95"/>
      <c r="I116" s="96"/>
      <c r="J116" s="96"/>
      <c r="K116" s="97"/>
      <c r="N116" s="85"/>
      <c r="O116" s="64"/>
    </row>
    <row r="117" spans="1:15" s="68" customFormat="1" ht="18" customHeight="1">
      <c r="A117" s="67"/>
      <c r="D117" s="92"/>
      <c r="E117" s="68" t="s">
        <v>191</v>
      </c>
      <c r="F117" s="93"/>
      <c r="G117" s="94"/>
      <c r="H117" s="95"/>
      <c r="I117" s="96"/>
      <c r="J117" s="96"/>
      <c r="K117" s="97"/>
      <c r="N117" s="85"/>
      <c r="O117" s="64"/>
    </row>
    <row r="118" spans="1:15" s="68" customFormat="1" ht="18" customHeight="1">
      <c r="A118" s="67"/>
      <c r="D118" s="92"/>
      <c r="E118" s="68" t="s">
        <v>192</v>
      </c>
      <c r="F118" s="93"/>
      <c r="G118" s="94"/>
      <c r="H118" s="95"/>
      <c r="I118" s="96"/>
      <c r="J118" s="96"/>
      <c r="K118" s="97"/>
      <c r="N118" s="85"/>
      <c r="O118" s="64"/>
    </row>
    <row r="119" spans="1:15" s="68" customFormat="1" ht="18" customHeight="1">
      <c r="A119" s="67"/>
      <c r="D119" s="92"/>
      <c r="E119" s="68" t="s">
        <v>193</v>
      </c>
      <c r="F119" s="93"/>
      <c r="G119" s="94"/>
      <c r="H119" s="95"/>
      <c r="I119" s="96"/>
      <c r="J119" s="96"/>
      <c r="K119" s="97"/>
      <c r="N119" s="85"/>
      <c r="O119" s="64"/>
    </row>
    <row r="120" spans="1:15" s="68" customFormat="1" ht="18" customHeight="1">
      <c r="A120" s="67"/>
      <c r="D120" s="92"/>
      <c r="E120" s="68" t="s">
        <v>194</v>
      </c>
      <c r="F120" s="93"/>
      <c r="G120" s="94"/>
      <c r="H120" s="95"/>
      <c r="I120" s="96"/>
      <c r="J120" s="96"/>
      <c r="K120" s="97"/>
      <c r="N120" s="85"/>
      <c r="O120" s="64"/>
    </row>
    <row r="121" spans="1:15" s="68" customFormat="1" ht="30" customHeight="1" thickBot="1">
      <c r="A121" s="67"/>
      <c r="C121" s="78" t="s">
        <v>239</v>
      </c>
      <c r="D121" s="78"/>
      <c r="E121" s="78"/>
      <c r="F121" s="79">
        <v>1</v>
      </c>
      <c r="G121" s="80"/>
      <c r="H121" s="81"/>
      <c r="I121" s="82"/>
      <c r="J121" s="226" t="str">
        <f>IFERROR(ROUND(IF(N121&lt;=3, (N121-1)/2, 1 + (N121-3)*0.25),2),"")</f>
        <v/>
      </c>
      <c r="K121" s="83"/>
      <c r="L121" s="84"/>
      <c r="M121" s="64"/>
      <c r="N121" s="85" t="str" cm="1">
        <f t="array" ref="N121">IFERROR(SUMPRODUCT(I122:I134,G122:G134)/SUMPRODUCT(--(I122:I134&lt;&gt;""),G122:G134),"")</f>
        <v/>
      </c>
      <c r="O121" s="64" t="e">
        <f>J121-N121</f>
        <v>#VALUE!</v>
      </c>
    </row>
    <row r="122" spans="1:15" s="68" customFormat="1" ht="18" customHeight="1">
      <c r="A122" s="67"/>
      <c r="D122" s="86" t="s">
        <v>240</v>
      </c>
      <c r="E122" s="87"/>
      <c r="F122" s="87"/>
      <c r="G122" s="88">
        <v>1</v>
      </c>
      <c r="H122" s="89"/>
      <c r="I122" s="90" t="str">
        <f>IFERROR(AVERAGEIF(H123:H128, "&lt;&gt;0"), "")</f>
        <v/>
      </c>
      <c r="J122" s="90"/>
      <c r="K122" s="91"/>
      <c r="N122" s="85"/>
      <c r="O122" s="64"/>
    </row>
    <row r="123" spans="1:15" s="68" customFormat="1" ht="18" customHeight="1">
      <c r="A123" s="67"/>
      <c r="D123" s="92"/>
      <c r="E123" s="68" t="s">
        <v>241</v>
      </c>
      <c r="F123" s="93"/>
      <c r="G123" s="94"/>
      <c r="H123" s="95"/>
      <c r="I123" s="96"/>
      <c r="J123" s="96"/>
      <c r="K123" s="97"/>
      <c r="N123" s="85"/>
      <c r="O123" s="64"/>
    </row>
    <row r="124" spans="1:15" s="68" customFormat="1" ht="18" customHeight="1">
      <c r="A124" s="67"/>
      <c r="D124" s="92"/>
      <c r="E124" s="68" t="s">
        <v>221</v>
      </c>
      <c r="F124" s="93"/>
      <c r="G124" s="94"/>
      <c r="H124" s="95"/>
      <c r="I124" s="96"/>
      <c r="J124" s="96"/>
      <c r="K124" s="97"/>
      <c r="N124" s="85"/>
      <c r="O124" s="64"/>
    </row>
    <row r="125" spans="1:15" s="68" customFormat="1" ht="18" customHeight="1">
      <c r="A125" s="67"/>
      <c r="D125" s="92"/>
      <c r="E125" s="68" t="s">
        <v>234</v>
      </c>
      <c r="F125" s="93"/>
      <c r="G125" s="94"/>
      <c r="H125" s="95"/>
      <c r="I125" s="96"/>
      <c r="J125" s="96"/>
      <c r="K125" s="97"/>
      <c r="N125" s="85"/>
      <c r="O125" s="64"/>
    </row>
    <row r="126" spans="1:15" s="68" customFormat="1" ht="18" customHeight="1">
      <c r="A126" s="67"/>
      <c r="D126" s="92"/>
      <c r="E126" s="68" t="s">
        <v>235</v>
      </c>
      <c r="F126" s="93"/>
      <c r="G126" s="94"/>
      <c r="H126" s="95"/>
      <c r="I126" s="96"/>
      <c r="J126" s="96"/>
      <c r="K126" s="97"/>
      <c r="N126" s="85"/>
      <c r="O126" s="64"/>
    </row>
    <row r="127" spans="1:15" s="68" customFormat="1" ht="18" customHeight="1">
      <c r="A127" s="67"/>
      <c r="D127" s="92"/>
      <c r="E127" s="68" t="s">
        <v>236</v>
      </c>
      <c r="F127" s="93"/>
      <c r="G127" s="94"/>
      <c r="H127" s="95"/>
      <c r="I127" s="96"/>
      <c r="J127" s="96"/>
      <c r="K127" s="97"/>
      <c r="N127" s="85"/>
      <c r="O127" s="64"/>
    </row>
    <row r="128" spans="1:15" s="68" customFormat="1" ht="18" customHeight="1">
      <c r="A128" s="67"/>
      <c r="D128" s="92"/>
      <c r="E128" s="68" t="s">
        <v>237</v>
      </c>
      <c r="F128" s="93"/>
      <c r="G128" s="94"/>
      <c r="H128" s="95"/>
      <c r="I128" s="96"/>
      <c r="J128" s="96"/>
      <c r="K128" s="97"/>
      <c r="N128" s="85"/>
      <c r="O128" s="64"/>
    </row>
    <row r="129" spans="1:15" s="68" customFormat="1" ht="18" customHeight="1">
      <c r="A129" s="67"/>
      <c r="D129" s="86" t="s">
        <v>238</v>
      </c>
      <c r="E129" s="87"/>
      <c r="F129" s="87"/>
      <c r="G129" s="88">
        <v>1</v>
      </c>
      <c r="H129" s="89"/>
      <c r="I129" s="90" t="str">
        <f>IFERROR(AVERAGEIF(H130:H134, "&lt;&gt;0"), "")</f>
        <v/>
      </c>
      <c r="J129" s="90"/>
      <c r="K129" s="91"/>
      <c r="N129" s="85"/>
      <c r="O129" s="64"/>
    </row>
    <row r="130" spans="1:15" s="68" customFormat="1" ht="18" customHeight="1">
      <c r="A130" s="67"/>
      <c r="D130" s="92"/>
      <c r="E130" s="68" t="s">
        <v>190</v>
      </c>
      <c r="F130" s="93"/>
      <c r="G130" s="94"/>
      <c r="H130" s="95"/>
      <c r="I130" s="96"/>
      <c r="J130" s="96"/>
      <c r="K130" s="97"/>
      <c r="N130" s="85"/>
      <c r="O130" s="64"/>
    </row>
    <row r="131" spans="1:15" s="68" customFormat="1" ht="18" customHeight="1">
      <c r="A131" s="67"/>
      <c r="D131" s="92"/>
      <c r="E131" s="68" t="s">
        <v>191</v>
      </c>
      <c r="F131" s="93"/>
      <c r="G131" s="94"/>
      <c r="H131" s="95"/>
      <c r="I131" s="96"/>
      <c r="J131" s="96"/>
      <c r="K131" s="97"/>
      <c r="N131" s="85"/>
      <c r="O131" s="64"/>
    </row>
    <row r="132" spans="1:15" s="68" customFormat="1" ht="18" customHeight="1">
      <c r="A132" s="67"/>
      <c r="D132" s="92"/>
      <c r="E132" s="68" t="s">
        <v>192</v>
      </c>
      <c r="F132" s="93"/>
      <c r="G132" s="94"/>
      <c r="H132" s="95"/>
      <c r="I132" s="96"/>
      <c r="J132" s="96"/>
      <c r="K132" s="97"/>
      <c r="N132" s="85"/>
      <c r="O132" s="64"/>
    </row>
    <row r="133" spans="1:15" s="68" customFormat="1" ht="18" customHeight="1">
      <c r="A133" s="67"/>
      <c r="D133" s="92"/>
      <c r="E133" s="68" t="s">
        <v>193</v>
      </c>
      <c r="F133" s="93"/>
      <c r="G133" s="94"/>
      <c r="H133" s="95"/>
      <c r="I133" s="96"/>
      <c r="J133" s="96"/>
      <c r="K133" s="97"/>
      <c r="N133" s="85"/>
      <c r="O133" s="64"/>
    </row>
    <row r="134" spans="1:15" s="68" customFormat="1" ht="18" customHeight="1">
      <c r="A134" s="67"/>
      <c r="D134" s="92"/>
      <c r="E134" s="68" t="s">
        <v>194</v>
      </c>
      <c r="F134" s="93"/>
      <c r="G134" s="94"/>
      <c r="H134" s="95"/>
      <c r="I134" s="96"/>
      <c r="J134" s="96"/>
      <c r="K134" s="97"/>
      <c r="N134" s="85"/>
      <c r="O134" s="64"/>
    </row>
    <row r="135" spans="1:15" ht="18" customHeight="1">
      <c r="C135" s="68"/>
      <c r="H135" s="100"/>
      <c r="I135" s="101"/>
      <c r="J135" s="100"/>
      <c r="N135" s="102"/>
    </row>
    <row r="136" spans="1:15" ht="18" customHeight="1">
      <c r="H136" s="100"/>
      <c r="I136" s="101"/>
      <c r="J136" s="100"/>
      <c r="N136" s="102"/>
    </row>
    <row r="137" spans="1:15" ht="18" customHeight="1">
      <c r="H137" s="100"/>
      <c r="I137" s="100"/>
      <c r="J137" s="100"/>
      <c r="N137" s="102"/>
    </row>
    <row r="138" spans="1:15" ht="18" customHeight="1">
      <c r="H138" s="100"/>
      <c r="I138" s="100"/>
      <c r="J138" s="100"/>
      <c r="N138" s="102"/>
    </row>
    <row r="139" spans="1:15" ht="18" customHeight="1">
      <c r="H139" s="100"/>
      <c r="I139" s="100"/>
      <c r="J139" s="100"/>
      <c r="N139" s="102"/>
    </row>
    <row r="140" spans="1:15" ht="18" customHeight="1">
      <c r="H140" s="100"/>
      <c r="I140" s="100"/>
      <c r="J140" s="100"/>
      <c r="N140" s="102"/>
    </row>
    <row r="141" spans="1:15" ht="18" customHeight="1">
      <c r="H141" s="100"/>
      <c r="I141" s="100"/>
      <c r="J141" s="100"/>
      <c r="N141" s="102"/>
    </row>
    <row r="142" spans="1:15" ht="18" customHeight="1">
      <c r="C142" s="68"/>
      <c r="H142" s="100"/>
      <c r="I142" s="100"/>
      <c r="J142" s="100"/>
      <c r="N142" s="102"/>
    </row>
    <row r="143" spans="1:15" ht="18" customHeight="1">
      <c r="C143" s="68"/>
      <c r="H143" s="100"/>
      <c r="I143" s="100"/>
      <c r="J143" s="100"/>
      <c r="N143" s="102"/>
    </row>
    <row r="144" spans="1:15" ht="18" customHeight="1">
      <c r="C144" s="68"/>
      <c r="H144" s="100"/>
      <c r="I144" s="100"/>
      <c r="J144" s="100"/>
      <c r="N144" s="102"/>
    </row>
    <row r="145" spans="3:14" ht="18" customHeight="1">
      <c r="C145" s="68"/>
      <c r="H145" s="100"/>
      <c r="I145" s="100"/>
      <c r="J145" s="100"/>
      <c r="N145" s="102"/>
    </row>
    <row r="146" spans="3:14" ht="18" customHeight="1">
      <c r="C146" s="68"/>
      <c r="H146" s="100"/>
      <c r="I146" s="100"/>
      <c r="J146" s="100"/>
      <c r="N146" s="102"/>
    </row>
    <row r="147" spans="3:14" ht="18" customHeight="1">
      <c r="C147" s="68"/>
      <c r="H147" s="100"/>
      <c r="I147" s="100"/>
      <c r="J147" s="100"/>
      <c r="N147" s="102"/>
    </row>
    <row r="148" spans="3:14" ht="18" customHeight="1">
      <c r="C148" s="68"/>
      <c r="H148" s="100"/>
      <c r="I148" s="100"/>
      <c r="J148" s="100"/>
      <c r="N148" s="102"/>
    </row>
    <row r="149" spans="3:14" ht="18" customHeight="1">
      <c r="C149" s="68"/>
      <c r="H149" s="100"/>
      <c r="I149" s="100"/>
      <c r="J149" s="100"/>
      <c r="N149" s="102"/>
    </row>
    <row r="150" spans="3:14" ht="18" customHeight="1">
      <c r="C150" s="68"/>
      <c r="H150" s="100"/>
      <c r="I150" s="100"/>
      <c r="J150" s="100"/>
      <c r="N150" s="102"/>
    </row>
    <row r="151" spans="3:14" ht="18" customHeight="1">
      <c r="C151" s="68"/>
      <c r="H151" s="100"/>
      <c r="I151" s="100"/>
      <c r="J151" s="100"/>
      <c r="N151" s="102"/>
    </row>
    <row r="152" spans="3:14" ht="18" customHeight="1">
      <c r="C152" s="68"/>
      <c r="H152" s="100"/>
      <c r="I152" s="100"/>
      <c r="J152" s="100"/>
      <c r="N152" s="102"/>
    </row>
    <row r="153" spans="3:14" ht="18" customHeight="1">
      <c r="C153" s="68"/>
      <c r="H153" s="100"/>
      <c r="I153" s="100"/>
      <c r="J153" s="100"/>
      <c r="N153" s="102"/>
    </row>
    <row r="154" spans="3:14" ht="18" customHeight="1">
      <c r="C154" s="68"/>
      <c r="H154" s="100"/>
      <c r="I154" s="100"/>
      <c r="J154" s="100"/>
      <c r="N154" s="102"/>
    </row>
    <row r="155" spans="3:14" ht="18" customHeight="1">
      <c r="C155" s="68"/>
      <c r="H155" s="100"/>
      <c r="I155" s="100"/>
      <c r="J155" s="100"/>
      <c r="N155" s="102"/>
    </row>
    <row r="156" spans="3:14" ht="18" customHeight="1">
      <c r="C156" s="68"/>
      <c r="H156" s="100"/>
      <c r="I156" s="100"/>
      <c r="J156" s="100"/>
      <c r="N156" s="102"/>
    </row>
    <row r="157" spans="3:14" ht="18" customHeight="1">
      <c r="C157" s="68"/>
      <c r="H157" s="100"/>
      <c r="I157" s="100"/>
      <c r="J157" s="100"/>
      <c r="N157" s="102"/>
    </row>
    <row r="158" spans="3:14" ht="18" customHeight="1">
      <c r="C158" s="68"/>
      <c r="H158" s="100"/>
      <c r="I158" s="100"/>
      <c r="J158" s="100"/>
      <c r="N158" s="102"/>
    </row>
    <row r="159" spans="3:14" ht="18" customHeight="1">
      <c r="C159" s="68"/>
      <c r="H159" s="100"/>
      <c r="I159" s="100"/>
      <c r="J159" s="100"/>
      <c r="N159" s="102"/>
    </row>
    <row r="160" spans="3:14" ht="18" customHeight="1">
      <c r="C160" s="68"/>
      <c r="H160" s="100"/>
      <c r="I160" s="100"/>
      <c r="J160" s="100"/>
      <c r="N160" s="102"/>
    </row>
    <row r="161" spans="3:14" ht="18" customHeight="1">
      <c r="C161" s="68"/>
      <c r="H161" s="100"/>
      <c r="I161" s="100"/>
      <c r="J161" s="100"/>
      <c r="N161" s="102"/>
    </row>
    <row r="162" spans="3:14" ht="18" customHeight="1">
      <c r="C162" s="68"/>
      <c r="H162" s="100"/>
      <c r="I162" s="100"/>
      <c r="J162" s="100"/>
      <c r="N162" s="102"/>
    </row>
    <row r="163" spans="3:14" ht="18" customHeight="1">
      <c r="C163" s="68"/>
      <c r="H163" s="100"/>
      <c r="I163" s="100"/>
      <c r="J163" s="100"/>
      <c r="N163" s="102"/>
    </row>
    <row r="164" spans="3:14" ht="18" customHeight="1">
      <c r="C164" s="68"/>
      <c r="H164" s="100"/>
      <c r="I164" s="100"/>
      <c r="J164" s="100"/>
    </row>
    <row r="165" spans="3:14" ht="18" customHeight="1">
      <c r="C165" s="68"/>
      <c r="H165" s="100"/>
      <c r="I165" s="100"/>
      <c r="J165" s="100"/>
    </row>
    <row r="166" spans="3:14" ht="18" customHeight="1">
      <c r="C166" s="68"/>
      <c r="H166" s="100"/>
      <c r="I166" s="100"/>
      <c r="J166" s="100"/>
    </row>
    <row r="167" spans="3:14" ht="18" customHeight="1">
      <c r="C167" s="68"/>
      <c r="H167" s="100"/>
      <c r="I167" s="100"/>
      <c r="J167" s="100"/>
    </row>
    <row r="168" spans="3:14" ht="18" customHeight="1">
      <c r="C168" s="68"/>
      <c r="H168" s="100"/>
      <c r="I168" s="100"/>
      <c r="J168" s="100"/>
    </row>
    <row r="169" spans="3:14" ht="18" customHeight="1">
      <c r="C169" s="68"/>
      <c r="H169" s="100"/>
      <c r="I169" s="100"/>
      <c r="J169" s="100"/>
    </row>
    <row r="170" spans="3:14" ht="18" customHeight="1">
      <c r="C170" s="68"/>
      <c r="H170" s="100"/>
      <c r="I170" s="100"/>
      <c r="J170" s="100"/>
    </row>
    <row r="171" spans="3:14" ht="18" customHeight="1">
      <c r="C171" s="68"/>
      <c r="H171" s="100"/>
      <c r="I171" s="100"/>
      <c r="J171" s="100"/>
    </row>
    <row r="172" spans="3:14" ht="18" customHeight="1">
      <c r="C172" s="68"/>
      <c r="H172" s="100"/>
      <c r="I172" s="100"/>
      <c r="J172" s="100"/>
    </row>
    <row r="173" spans="3:14" ht="18" customHeight="1">
      <c r="C173" s="68"/>
      <c r="H173" s="100"/>
      <c r="I173" s="100"/>
      <c r="J173" s="100"/>
    </row>
    <row r="174" spans="3:14" ht="18" customHeight="1">
      <c r="C174" s="68"/>
      <c r="H174" s="100"/>
      <c r="I174" s="100"/>
      <c r="J174" s="100"/>
    </row>
    <row r="175" spans="3:14" ht="18" customHeight="1">
      <c r="C175" s="68"/>
      <c r="H175" s="100"/>
      <c r="I175" s="100"/>
      <c r="J175" s="100"/>
    </row>
    <row r="176" spans="3:14" ht="18" customHeight="1">
      <c r="C176" s="68"/>
      <c r="H176" s="100"/>
      <c r="I176" s="100"/>
      <c r="J176" s="100"/>
    </row>
    <row r="177" spans="3:10" ht="18" customHeight="1">
      <c r="C177" s="68"/>
      <c r="H177" s="100"/>
      <c r="I177" s="100"/>
      <c r="J177" s="100"/>
    </row>
    <row r="178" spans="3:10" ht="18" customHeight="1">
      <c r="C178" s="68"/>
      <c r="H178" s="100"/>
      <c r="I178" s="100"/>
      <c r="J178" s="100"/>
    </row>
    <row r="179" spans="3:10" ht="18" customHeight="1">
      <c r="C179" s="68"/>
      <c r="H179" s="100"/>
      <c r="I179" s="100"/>
      <c r="J179" s="100"/>
    </row>
    <row r="180" spans="3:10" ht="18" customHeight="1">
      <c r="C180" s="68"/>
      <c r="H180" s="100"/>
      <c r="I180" s="100"/>
      <c r="J180" s="100"/>
    </row>
    <row r="181" spans="3:10" ht="18" customHeight="1">
      <c r="C181" s="68"/>
      <c r="H181" s="100"/>
      <c r="I181" s="100"/>
      <c r="J181" s="100"/>
    </row>
    <row r="182" spans="3:10" ht="18" customHeight="1">
      <c r="C182" s="68"/>
      <c r="H182" s="100"/>
      <c r="I182" s="100"/>
      <c r="J182" s="100"/>
    </row>
    <row r="183" spans="3:10" ht="18" customHeight="1">
      <c r="C183" s="68"/>
      <c r="H183" s="100"/>
      <c r="I183" s="100"/>
      <c r="J183" s="100"/>
    </row>
    <row r="184" spans="3:10" ht="18" customHeight="1">
      <c r="C184" s="68"/>
      <c r="H184" s="100"/>
      <c r="I184" s="100"/>
      <c r="J184" s="100"/>
    </row>
    <row r="185" spans="3:10" ht="18" customHeight="1">
      <c r="C185" s="68"/>
      <c r="H185" s="100"/>
      <c r="I185" s="100"/>
      <c r="J185" s="100"/>
    </row>
    <row r="186" spans="3:10" ht="18" customHeight="1">
      <c r="C186" s="68"/>
      <c r="H186" s="100"/>
      <c r="I186" s="100"/>
      <c r="J186" s="100"/>
    </row>
    <row r="187" spans="3:10" ht="18" customHeight="1">
      <c r="C187" s="68"/>
      <c r="H187" s="100"/>
      <c r="I187" s="100"/>
      <c r="J187" s="100"/>
    </row>
    <row r="188" spans="3:10" ht="18" customHeight="1">
      <c r="C188" s="68"/>
      <c r="H188" s="100"/>
      <c r="I188" s="100"/>
      <c r="J188" s="100"/>
    </row>
    <row r="189" spans="3:10" ht="18" customHeight="1">
      <c r="C189" s="68"/>
      <c r="H189" s="100"/>
      <c r="I189" s="100"/>
      <c r="J189" s="100"/>
    </row>
    <row r="190" spans="3:10" ht="18" customHeight="1">
      <c r="C190" s="68"/>
      <c r="H190" s="100"/>
      <c r="I190" s="100"/>
      <c r="J190" s="100"/>
    </row>
    <row r="191" spans="3:10" ht="18" customHeight="1">
      <c r="C191" s="68"/>
      <c r="H191" s="100"/>
      <c r="I191" s="100"/>
      <c r="J191" s="100"/>
    </row>
    <row r="192" spans="3:10" ht="14.25" customHeight="1">
      <c r="C192" s="68"/>
      <c r="H192" s="100"/>
      <c r="I192" s="100"/>
      <c r="J192" s="100"/>
    </row>
    <row r="193" spans="3:10" ht="14.25" customHeight="1">
      <c r="C193" s="68"/>
      <c r="H193" s="100"/>
      <c r="I193" s="100"/>
      <c r="J193" s="100"/>
    </row>
    <row r="194" spans="3:10" ht="14.25" customHeight="1">
      <c r="C194" s="68"/>
      <c r="H194" s="100"/>
      <c r="I194" s="100"/>
      <c r="J194" s="100"/>
    </row>
    <row r="195" spans="3:10" ht="14.25" customHeight="1">
      <c r="C195" s="68"/>
      <c r="H195" s="100"/>
      <c r="I195" s="100"/>
      <c r="J195" s="100"/>
    </row>
    <row r="196" spans="3:10" ht="14.25" customHeight="1">
      <c r="C196" s="68"/>
      <c r="H196" s="100"/>
      <c r="I196" s="100"/>
      <c r="J196" s="100"/>
    </row>
    <row r="197" spans="3:10" ht="14.25" customHeight="1">
      <c r="C197" s="68"/>
      <c r="H197" s="100"/>
      <c r="I197" s="100"/>
      <c r="J197" s="100"/>
    </row>
    <row r="198" spans="3:10" ht="14.25" customHeight="1">
      <c r="C198" s="68"/>
      <c r="H198" s="100"/>
      <c r="I198" s="100"/>
      <c r="J198" s="100"/>
    </row>
    <row r="199" spans="3:10" ht="14.25" customHeight="1">
      <c r="C199" s="68"/>
      <c r="H199" s="100"/>
      <c r="I199" s="100"/>
      <c r="J199" s="100"/>
    </row>
    <row r="200" spans="3:10" ht="14.25" customHeight="1">
      <c r="C200" s="68"/>
      <c r="H200" s="100"/>
      <c r="I200" s="100"/>
      <c r="J200" s="100"/>
    </row>
    <row r="201" spans="3:10" ht="14.25" customHeight="1">
      <c r="C201" s="68"/>
      <c r="H201" s="100"/>
      <c r="I201" s="100"/>
      <c r="J201" s="100"/>
    </row>
    <row r="202" spans="3:10" ht="14.25" customHeight="1">
      <c r="C202" s="68"/>
      <c r="H202" s="100"/>
      <c r="I202" s="100"/>
      <c r="J202" s="100"/>
    </row>
    <row r="203" spans="3:10" ht="14.25" customHeight="1">
      <c r="C203" s="68"/>
      <c r="H203" s="100"/>
      <c r="I203" s="100"/>
      <c r="J203" s="100"/>
    </row>
    <row r="204" spans="3:10" ht="14.25" customHeight="1">
      <c r="C204" s="68"/>
      <c r="H204" s="100"/>
      <c r="I204" s="100"/>
      <c r="J204" s="100"/>
    </row>
    <row r="205" spans="3:10" ht="14.25" customHeight="1">
      <c r="C205" s="68"/>
      <c r="H205" s="100"/>
      <c r="I205" s="100"/>
      <c r="J205" s="100"/>
    </row>
    <row r="206" spans="3:10" ht="14.25" customHeight="1">
      <c r="C206" s="68"/>
      <c r="H206" s="100"/>
      <c r="I206" s="100"/>
      <c r="J206" s="100"/>
    </row>
    <row r="207" spans="3:10" ht="14.25" customHeight="1">
      <c r="C207" s="68"/>
      <c r="H207" s="100"/>
      <c r="I207" s="100"/>
      <c r="J207" s="100"/>
    </row>
    <row r="208" spans="3:10" ht="14.25" customHeight="1">
      <c r="C208" s="68"/>
      <c r="H208" s="100"/>
      <c r="I208" s="100"/>
      <c r="J208" s="100"/>
    </row>
    <row r="209" spans="3:10" ht="14.25" customHeight="1">
      <c r="C209" s="68"/>
      <c r="H209" s="100"/>
      <c r="I209" s="100"/>
      <c r="J209" s="100"/>
    </row>
    <row r="210" spans="3:10" ht="14.25" customHeight="1">
      <c r="C210" s="68"/>
      <c r="H210" s="100"/>
      <c r="I210" s="100"/>
      <c r="J210" s="100"/>
    </row>
    <row r="211" spans="3:10" ht="14.25" customHeight="1">
      <c r="C211" s="68"/>
      <c r="H211" s="100"/>
      <c r="I211" s="100"/>
      <c r="J211" s="100"/>
    </row>
    <row r="212" spans="3:10" ht="14.25" customHeight="1">
      <c r="C212" s="68"/>
      <c r="H212" s="100"/>
      <c r="I212" s="100"/>
      <c r="J212" s="100"/>
    </row>
    <row r="213" spans="3:10" ht="14.25" customHeight="1">
      <c r="C213" s="68"/>
      <c r="H213" s="100"/>
      <c r="I213" s="100"/>
      <c r="J213" s="100"/>
    </row>
    <row r="214" spans="3:10" ht="14.25" customHeight="1">
      <c r="C214" s="68"/>
      <c r="H214" s="100"/>
      <c r="I214" s="100"/>
      <c r="J214" s="100"/>
    </row>
    <row r="215" spans="3:10" ht="14.25" customHeight="1">
      <c r="C215" s="68"/>
      <c r="H215" s="100"/>
      <c r="I215" s="100"/>
      <c r="J215" s="100"/>
    </row>
    <row r="216" spans="3:10" ht="14.25" customHeight="1">
      <c r="C216" s="68"/>
      <c r="H216" s="100"/>
      <c r="I216" s="100"/>
      <c r="J216" s="100"/>
    </row>
    <row r="217" spans="3:10" ht="14.25" customHeight="1">
      <c r="C217" s="68"/>
      <c r="H217" s="100"/>
      <c r="I217" s="100"/>
      <c r="J217" s="100"/>
    </row>
    <row r="218" spans="3:10" ht="14.25" customHeight="1">
      <c r="C218" s="68"/>
      <c r="H218" s="100"/>
      <c r="I218" s="100"/>
      <c r="J218" s="100"/>
    </row>
    <row r="219" spans="3:10" ht="14.25" customHeight="1">
      <c r="C219" s="68"/>
      <c r="H219" s="100"/>
      <c r="I219" s="100"/>
      <c r="J219" s="100"/>
    </row>
    <row r="220" spans="3:10" ht="14.25" customHeight="1">
      <c r="C220" s="68"/>
      <c r="H220" s="100"/>
      <c r="I220" s="100"/>
      <c r="J220" s="100"/>
    </row>
    <row r="221" spans="3:10" ht="14.25" customHeight="1">
      <c r="C221" s="68"/>
      <c r="H221" s="100"/>
      <c r="I221" s="100"/>
      <c r="J221" s="100"/>
    </row>
    <row r="222" spans="3:10" ht="14.25" customHeight="1">
      <c r="C222" s="68"/>
      <c r="H222" s="100"/>
      <c r="I222" s="100"/>
      <c r="J222" s="100"/>
    </row>
    <row r="223" spans="3:10" ht="14.25" customHeight="1">
      <c r="C223" s="68"/>
      <c r="H223" s="100"/>
      <c r="I223" s="100"/>
      <c r="J223" s="100"/>
    </row>
    <row r="224" spans="3:10" ht="14.25" customHeight="1">
      <c r="C224" s="68"/>
      <c r="H224" s="100"/>
      <c r="I224" s="100"/>
      <c r="J224" s="100"/>
    </row>
    <row r="225" spans="3:10" ht="14.25" customHeight="1">
      <c r="C225" s="68"/>
      <c r="H225" s="100"/>
      <c r="I225" s="100"/>
      <c r="J225" s="100"/>
    </row>
    <row r="226" spans="3:10" ht="14.25" customHeight="1">
      <c r="C226" s="68"/>
      <c r="H226" s="100"/>
      <c r="I226" s="100"/>
      <c r="J226" s="100"/>
    </row>
    <row r="227" spans="3:10" ht="14.25" customHeight="1">
      <c r="C227" s="68"/>
      <c r="H227" s="100"/>
      <c r="I227" s="100"/>
      <c r="J227" s="100"/>
    </row>
    <row r="228" spans="3:10" ht="14.25" customHeight="1">
      <c r="C228" s="68"/>
      <c r="H228" s="100"/>
      <c r="I228" s="100"/>
      <c r="J228" s="100"/>
    </row>
    <row r="229" spans="3:10" ht="14.25" customHeight="1">
      <c r="C229" s="68"/>
      <c r="H229" s="100"/>
      <c r="I229" s="100"/>
      <c r="J229" s="100"/>
    </row>
    <row r="230" spans="3:10" ht="14.25" customHeight="1">
      <c r="C230" s="68"/>
      <c r="H230" s="100"/>
      <c r="I230" s="100"/>
      <c r="J230" s="100"/>
    </row>
    <row r="231" spans="3:10" ht="14.25" customHeight="1">
      <c r="C231" s="68"/>
      <c r="H231" s="100"/>
      <c r="I231" s="100"/>
      <c r="J231" s="100"/>
    </row>
    <row r="232" spans="3:10" ht="14.25" customHeight="1">
      <c r="C232" s="68"/>
      <c r="H232" s="100"/>
      <c r="I232" s="100"/>
      <c r="J232" s="100"/>
    </row>
    <row r="233" spans="3:10" ht="14.25" customHeight="1">
      <c r="C233" s="68"/>
      <c r="H233" s="100"/>
      <c r="I233" s="100"/>
      <c r="J233" s="100"/>
    </row>
    <row r="234" spans="3:10" ht="14.25" customHeight="1">
      <c r="C234" s="68"/>
      <c r="H234" s="100"/>
      <c r="I234" s="100"/>
      <c r="J234" s="100"/>
    </row>
    <row r="235" spans="3:10" ht="14.25" customHeight="1">
      <c r="C235" s="68"/>
      <c r="H235" s="100"/>
      <c r="I235" s="100"/>
      <c r="J235" s="100"/>
    </row>
    <row r="236" spans="3:10" ht="14.25" customHeight="1">
      <c r="C236" s="68"/>
      <c r="H236" s="100"/>
      <c r="I236" s="100"/>
      <c r="J236" s="100"/>
    </row>
    <row r="237" spans="3:10" ht="14.25" customHeight="1">
      <c r="C237" s="68"/>
      <c r="H237" s="100"/>
      <c r="I237" s="100"/>
      <c r="J237" s="100"/>
    </row>
    <row r="238" spans="3:10" ht="14.25" customHeight="1">
      <c r="C238" s="68"/>
      <c r="H238" s="100"/>
      <c r="I238" s="100"/>
      <c r="J238" s="100"/>
    </row>
    <row r="239" spans="3:10" ht="14.25" customHeight="1">
      <c r="C239" s="68"/>
      <c r="H239" s="100"/>
      <c r="I239" s="100"/>
      <c r="J239" s="100"/>
    </row>
    <row r="240" spans="3:10" ht="14.25" customHeight="1">
      <c r="C240" s="68"/>
      <c r="H240" s="100"/>
      <c r="I240" s="100"/>
      <c r="J240" s="100"/>
    </row>
    <row r="241" spans="3:10" ht="14.25" customHeight="1">
      <c r="C241" s="68"/>
      <c r="H241" s="100"/>
      <c r="I241" s="100"/>
      <c r="J241" s="100"/>
    </row>
    <row r="242" spans="3:10" ht="14.25" customHeight="1">
      <c r="C242" s="68"/>
      <c r="H242" s="100"/>
      <c r="I242" s="100"/>
      <c r="J242" s="100"/>
    </row>
    <row r="243" spans="3:10" ht="14.25" customHeight="1">
      <c r="C243" s="68"/>
      <c r="H243" s="100"/>
      <c r="I243" s="100"/>
      <c r="J243" s="100"/>
    </row>
    <row r="244" spans="3:10" ht="14.25" customHeight="1">
      <c r="C244" s="68"/>
      <c r="H244" s="100"/>
      <c r="I244" s="100"/>
      <c r="J244" s="100"/>
    </row>
    <row r="245" spans="3:10" ht="14.25" customHeight="1">
      <c r="C245" s="68"/>
      <c r="H245" s="100"/>
      <c r="I245" s="100"/>
      <c r="J245" s="100"/>
    </row>
    <row r="246" spans="3:10" ht="14.25" customHeight="1">
      <c r="C246" s="68"/>
      <c r="H246" s="100"/>
      <c r="I246" s="100"/>
      <c r="J246" s="100"/>
    </row>
    <row r="247" spans="3:10" ht="14.25" customHeight="1">
      <c r="C247" s="68"/>
      <c r="H247" s="100"/>
      <c r="I247" s="100"/>
      <c r="J247" s="100"/>
    </row>
    <row r="248" spans="3:10" ht="14.25" customHeight="1">
      <c r="C248" s="68"/>
      <c r="H248" s="100"/>
      <c r="I248" s="100"/>
      <c r="J248" s="100"/>
    </row>
    <row r="249" spans="3:10" ht="14.25" customHeight="1">
      <c r="C249" s="68"/>
      <c r="H249" s="100"/>
      <c r="I249" s="100"/>
      <c r="J249" s="100"/>
    </row>
    <row r="250" spans="3:10" ht="14.25" customHeight="1">
      <c r="C250" s="68"/>
      <c r="H250" s="100"/>
      <c r="I250" s="100"/>
      <c r="J250" s="100"/>
    </row>
    <row r="251" spans="3:10" ht="14.25" customHeight="1">
      <c r="C251" s="68"/>
      <c r="H251" s="100"/>
      <c r="I251" s="100"/>
      <c r="J251" s="100"/>
    </row>
    <row r="252" spans="3:10" ht="14.25" customHeight="1">
      <c r="C252" s="68"/>
      <c r="H252" s="100"/>
      <c r="I252" s="100"/>
      <c r="J252" s="100"/>
    </row>
    <row r="253" spans="3:10" ht="14.25" customHeight="1">
      <c r="C253" s="68"/>
      <c r="H253" s="100"/>
      <c r="I253" s="100"/>
      <c r="J253" s="100"/>
    </row>
    <row r="254" spans="3:10" ht="14.25" customHeight="1">
      <c r="C254" s="68"/>
      <c r="H254" s="100"/>
      <c r="I254" s="100"/>
      <c r="J254" s="100"/>
    </row>
    <row r="255" spans="3:10" ht="14.25" customHeight="1">
      <c r="C255" s="68"/>
      <c r="H255" s="100"/>
      <c r="I255" s="100"/>
      <c r="J255" s="100"/>
    </row>
    <row r="256" spans="3:10" ht="14.25" customHeight="1">
      <c r="C256" s="68"/>
      <c r="H256" s="100"/>
      <c r="I256" s="100"/>
      <c r="J256" s="100"/>
    </row>
    <row r="257" spans="3:10" ht="14.25" customHeight="1">
      <c r="C257" s="68"/>
      <c r="H257" s="100"/>
      <c r="I257" s="100"/>
      <c r="J257" s="100"/>
    </row>
    <row r="258" spans="3:10" ht="14.25" customHeight="1">
      <c r="C258" s="68"/>
      <c r="H258" s="100"/>
      <c r="I258" s="100"/>
      <c r="J258" s="100"/>
    </row>
    <row r="259" spans="3:10" ht="14.25" customHeight="1">
      <c r="C259" s="68"/>
      <c r="H259" s="100"/>
      <c r="I259" s="100"/>
      <c r="J259" s="100"/>
    </row>
    <row r="260" spans="3:10" ht="14.25" customHeight="1">
      <c r="C260" s="68"/>
      <c r="H260" s="100"/>
      <c r="I260" s="100"/>
      <c r="J260" s="100"/>
    </row>
    <row r="261" spans="3:10" ht="14.25" customHeight="1">
      <c r="C261" s="68"/>
      <c r="H261" s="100"/>
      <c r="I261" s="100"/>
      <c r="J261" s="100"/>
    </row>
    <row r="262" spans="3:10" ht="14.25" customHeight="1">
      <c r="C262" s="68"/>
      <c r="H262" s="100"/>
      <c r="I262" s="100"/>
      <c r="J262" s="100"/>
    </row>
    <row r="263" spans="3:10" ht="14.25" customHeight="1">
      <c r="C263" s="68"/>
      <c r="H263" s="100"/>
      <c r="I263" s="100"/>
      <c r="J263" s="100"/>
    </row>
    <row r="264" spans="3:10" ht="14.25" customHeight="1">
      <c r="C264" s="68"/>
      <c r="H264" s="100"/>
      <c r="I264" s="100"/>
      <c r="J264" s="100"/>
    </row>
    <row r="265" spans="3:10" ht="14.25" customHeight="1">
      <c r="C265" s="68"/>
      <c r="H265" s="100"/>
      <c r="I265" s="100"/>
      <c r="J265" s="100"/>
    </row>
    <row r="266" spans="3:10" ht="14.25" customHeight="1">
      <c r="C266" s="68"/>
      <c r="H266" s="100"/>
      <c r="I266" s="100"/>
      <c r="J266" s="100"/>
    </row>
    <row r="267" spans="3:10" ht="14.25" customHeight="1">
      <c r="C267" s="68"/>
      <c r="H267" s="100"/>
      <c r="I267" s="100"/>
      <c r="J267" s="100"/>
    </row>
    <row r="268" spans="3:10" ht="14.25" customHeight="1">
      <c r="C268" s="68"/>
      <c r="H268" s="100"/>
      <c r="I268" s="100"/>
      <c r="J268" s="100"/>
    </row>
    <row r="269" spans="3:10" ht="14.25" customHeight="1">
      <c r="C269" s="68"/>
      <c r="H269" s="100"/>
      <c r="I269" s="100"/>
      <c r="J269" s="100"/>
    </row>
    <row r="270" spans="3:10" ht="14.25" customHeight="1">
      <c r="C270" s="68"/>
      <c r="H270" s="100"/>
      <c r="I270" s="100"/>
      <c r="J270" s="100"/>
    </row>
    <row r="271" spans="3:10" ht="14.25" customHeight="1">
      <c r="C271" s="68"/>
      <c r="H271" s="100"/>
      <c r="I271" s="100"/>
      <c r="J271" s="100"/>
    </row>
    <row r="272" spans="3:10" ht="14.25" customHeight="1">
      <c r="C272" s="68"/>
      <c r="H272" s="100"/>
      <c r="I272" s="100"/>
      <c r="J272" s="100"/>
    </row>
    <row r="273" spans="3:10" ht="14.25" customHeight="1">
      <c r="C273" s="68"/>
      <c r="H273" s="100"/>
      <c r="I273" s="100"/>
      <c r="J273" s="100"/>
    </row>
    <row r="274" spans="3:10" ht="14.25" customHeight="1">
      <c r="C274" s="68"/>
      <c r="H274" s="100"/>
      <c r="I274" s="100"/>
      <c r="J274" s="100"/>
    </row>
    <row r="275" spans="3:10" ht="14.25" customHeight="1">
      <c r="C275" s="68"/>
      <c r="H275" s="100"/>
      <c r="I275" s="100"/>
      <c r="J275" s="100"/>
    </row>
    <row r="276" spans="3:10" ht="14.25" customHeight="1">
      <c r="C276" s="68"/>
      <c r="H276" s="100"/>
      <c r="I276" s="100"/>
      <c r="J276" s="100"/>
    </row>
    <row r="277" spans="3:10" ht="14.25" customHeight="1">
      <c r="C277" s="68"/>
      <c r="H277" s="100"/>
      <c r="I277" s="100"/>
      <c r="J277" s="100"/>
    </row>
    <row r="278" spans="3:10" ht="14.25" customHeight="1">
      <c r="C278" s="68"/>
      <c r="H278" s="100"/>
      <c r="I278" s="100"/>
      <c r="J278" s="100"/>
    </row>
    <row r="279" spans="3:10" ht="14.25" customHeight="1">
      <c r="C279" s="68"/>
      <c r="H279" s="100"/>
      <c r="I279" s="100"/>
      <c r="J279" s="100"/>
    </row>
    <row r="280" spans="3:10" ht="14.25" customHeight="1">
      <c r="C280" s="68"/>
      <c r="H280" s="100"/>
      <c r="I280" s="100"/>
      <c r="J280" s="100"/>
    </row>
    <row r="281" spans="3:10" ht="14.25" customHeight="1">
      <c r="C281" s="68"/>
      <c r="H281" s="100"/>
      <c r="I281" s="100"/>
      <c r="J281" s="100"/>
    </row>
    <row r="282" spans="3:10" ht="14.25" customHeight="1">
      <c r="C282" s="68"/>
      <c r="H282" s="100"/>
      <c r="I282" s="100"/>
      <c r="J282" s="100"/>
    </row>
    <row r="283" spans="3:10" ht="14.25" customHeight="1">
      <c r="C283" s="68"/>
      <c r="H283" s="100"/>
      <c r="I283" s="100"/>
      <c r="J283" s="100"/>
    </row>
    <row r="284" spans="3:10" ht="14.25" customHeight="1">
      <c r="C284" s="68"/>
      <c r="H284" s="100"/>
      <c r="I284" s="100"/>
      <c r="J284" s="100"/>
    </row>
    <row r="285" spans="3:10" ht="14.25" customHeight="1">
      <c r="C285" s="68"/>
      <c r="H285" s="100"/>
      <c r="I285" s="100"/>
      <c r="J285" s="100"/>
    </row>
    <row r="286" spans="3:10" ht="14.25" customHeight="1">
      <c r="C286" s="68"/>
      <c r="H286" s="100"/>
      <c r="I286" s="100"/>
      <c r="J286" s="100"/>
    </row>
    <row r="287" spans="3:10" ht="14.25" customHeight="1">
      <c r="C287" s="68"/>
    </row>
    <row r="288" spans="3:10" ht="14.25" customHeight="1">
      <c r="C288" s="68"/>
    </row>
    <row r="289" spans="3:3" ht="14.25" customHeight="1">
      <c r="C289" s="68"/>
    </row>
    <row r="290" spans="3:3" ht="14.25" customHeight="1">
      <c r="C290" s="68"/>
    </row>
    <row r="291" spans="3:3" ht="14.25" customHeight="1">
      <c r="C291" s="68"/>
    </row>
    <row r="292" spans="3:3" ht="14.25" customHeight="1">
      <c r="C292" s="68"/>
    </row>
    <row r="293" spans="3:3" ht="14.25" customHeight="1">
      <c r="C293" s="68"/>
    </row>
    <row r="294" spans="3:3" ht="14.25" customHeight="1">
      <c r="C294" s="68"/>
    </row>
    <row r="295" spans="3:3" ht="14.25" customHeight="1">
      <c r="C295" s="68"/>
    </row>
    <row r="296" spans="3:3" ht="14.25" customHeight="1">
      <c r="C296" s="68"/>
    </row>
    <row r="297" spans="3:3" ht="14.25" customHeight="1">
      <c r="C297" s="68"/>
    </row>
    <row r="298" spans="3:3" ht="14.25" customHeight="1">
      <c r="C298" s="68"/>
    </row>
    <row r="299" spans="3:3" ht="14.25" customHeight="1">
      <c r="C299" s="68"/>
    </row>
    <row r="300" spans="3:3" ht="14.25" customHeight="1">
      <c r="C300" s="68"/>
    </row>
    <row r="301" spans="3:3" ht="14.25" customHeight="1">
      <c r="C301" s="68"/>
    </row>
    <row r="302" spans="3:3" ht="14.25" customHeight="1">
      <c r="C302" s="68"/>
    </row>
    <row r="303" spans="3:3" ht="14.25" customHeight="1">
      <c r="C303" s="68"/>
    </row>
    <row r="304" spans="3:3" ht="14.25" customHeight="1">
      <c r="C304" s="68"/>
    </row>
    <row r="305" spans="3:3" ht="14.25" customHeight="1">
      <c r="C305" s="68"/>
    </row>
    <row r="306" spans="3:3" ht="14.25" customHeight="1">
      <c r="C306" s="68"/>
    </row>
    <row r="307" spans="3:3" ht="14.25" customHeight="1">
      <c r="C307" s="68"/>
    </row>
    <row r="308" spans="3:3" ht="14.25" customHeight="1">
      <c r="C308" s="68"/>
    </row>
    <row r="309" spans="3:3" ht="14.25" customHeight="1">
      <c r="C309" s="68"/>
    </row>
    <row r="310" spans="3:3" ht="14.25" customHeight="1">
      <c r="C310" s="68"/>
    </row>
    <row r="311" spans="3:3" ht="14.25" customHeight="1">
      <c r="C311" s="68"/>
    </row>
    <row r="312" spans="3:3" ht="14.25" customHeight="1">
      <c r="C312" s="68"/>
    </row>
    <row r="313" spans="3:3" ht="14.25" customHeight="1">
      <c r="C313" s="68"/>
    </row>
    <row r="314" spans="3:3" ht="14.25" customHeight="1">
      <c r="C314" s="68"/>
    </row>
    <row r="315" spans="3:3" ht="14.25" customHeight="1">
      <c r="C315" s="68"/>
    </row>
    <row r="316" spans="3:3" ht="14.25" customHeight="1">
      <c r="C316" s="68"/>
    </row>
    <row r="317" spans="3:3" ht="14.25" customHeight="1">
      <c r="C317" s="68"/>
    </row>
    <row r="318" spans="3:3" ht="14.25" customHeight="1">
      <c r="C318" s="68"/>
    </row>
    <row r="319" spans="3:3" ht="14.25" customHeight="1">
      <c r="C319" s="68"/>
    </row>
    <row r="320" spans="3:3" ht="14.25" customHeight="1">
      <c r="C320" s="68"/>
    </row>
    <row r="321" spans="3:3" ht="14.25" customHeight="1">
      <c r="C321" s="68"/>
    </row>
    <row r="322" spans="3:3" ht="14.25" customHeight="1">
      <c r="C322" s="68"/>
    </row>
    <row r="323" spans="3:3" ht="14.25" customHeight="1">
      <c r="C323" s="68"/>
    </row>
    <row r="324" spans="3:3" ht="14.25" customHeight="1">
      <c r="C324" s="68"/>
    </row>
    <row r="325" spans="3:3" ht="14.25" customHeight="1">
      <c r="C325" s="68"/>
    </row>
    <row r="326" spans="3:3" ht="14.25" customHeight="1">
      <c r="C326" s="68"/>
    </row>
    <row r="327" spans="3:3" ht="14.25" customHeight="1">
      <c r="C327" s="68"/>
    </row>
    <row r="328" spans="3:3" ht="14.25" customHeight="1">
      <c r="C328" s="68"/>
    </row>
    <row r="329" spans="3:3" ht="14.25" customHeight="1">
      <c r="C329" s="68"/>
    </row>
    <row r="330" spans="3:3" ht="14.25" customHeight="1">
      <c r="C330" s="68"/>
    </row>
    <row r="331" spans="3:3" ht="14.25" customHeight="1">
      <c r="C331" s="68"/>
    </row>
    <row r="332" spans="3:3" ht="14.25" customHeight="1">
      <c r="C332" s="68"/>
    </row>
    <row r="333" spans="3:3" ht="14.25" customHeight="1">
      <c r="C333" s="68"/>
    </row>
    <row r="334" spans="3:3" ht="14.25" customHeight="1">
      <c r="C334" s="68"/>
    </row>
    <row r="335" spans="3:3" ht="14.25" customHeight="1">
      <c r="C335" s="68"/>
    </row>
    <row r="336" spans="3:3" ht="14.25" customHeight="1">
      <c r="C336" s="68"/>
    </row>
    <row r="337" spans="3:3" ht="14.25" customHeight="1">
      <c r="C337" s="68"/>
    </row>
    <row r="338" spans="3:3" ht="14.25" customHeight="1">
      <c r="C338" s="68"/>
    </row>
    <row r="339" spans="3:3" ht="14.25" customHeight="1">
      <c r="C339" s="68"/>
    </row>
    <row r="340" spans="3:3" ht="14.25" customHeight="1">
      <c r="C340" s="68"/>
    </row>
    <row r="341" spans="3:3" ht="14.25" customHeight="1">
      <c r="C341" s="68"/>
    </row>
    <row r="342" spans="3:3" ht="14.25" customHeight="1">
      <c r="C342" s="68"/>
    </row>
    <row r="343" spans="3:3" ht="14.25" customHeight="1">
      <c r="C343" s="68"/>
    </row>
    <row r="344" spans="3:3" ht="14.25" customHeight="1">
      <c r="C344" s="68"/>
    </row>
    <row r="345" spans="3:3" ht="14.25" customHeight="1">
      <c r="C345" s="68"/>
    </row>
    <row r="346" spans="3:3" ht="14.25" customHeight="1">
      <c r="C346" s="68"/>
    </row>
    <row r="347" spans="3:3" ht="14.25" customHeight="1">
      <c r="C347" s="68"/>
    </row>
    <row r="348" spans="3:3" ht="14.25" customHeight="1">
      <c r="C348" s="68"/>
    </row>
    <row r="349" spans="3:3" ht="14.25" customHeight="1">
      <c r="C349" s="68"/>
    </row>
    <row r="350" spans="3:3" ht="14.25" customHeight="1">
      <c r="C350" s="68"/>
    </row>
    <row r="351" spans="3:3" ht="14.25" customHeight="1">
      <c r="C351" s="68"/>
    </row>
    <row r="352" spans="3:3" ht="14.25" customHeight="1">
      <c r="C352" s="68"/>
    </row>
    <row r="353" spans="3:3" ht="14.25" customHeight="1">
      <c r="C353" s="68"/>
    </row>
    <row r="354" spans="3:3" ht="14.25" customHeight="1">
      <c r="C354" s="68"/>
    </row>
    <row r="355" spans="3:3" ht="14.25" customHeight="1">
      <c r="C355" s="68"/>
    </row>
    <row r="356" spans="3:3" ht="14.25" customHeight="1">
      <c r="C356" s="68"/>
    </row>
    <row r="357" spans="3:3" ht="14.25" customHeight="1">
      <c r="C357" s="68"/>
    </row>
    <row r="358" spans="3:3" ht="14.25" customHeight="1">
      <c r="C358" s="68"/>
    </row>
    <row r="359" spans="3:3" ht="14.25" customHeight="1">
      <c r="C359" s="68"/>
    </row>
    <row r="360" spans="3:3" ht="14.25" customHeight="1">
      <c r="C360" s="68"/>
    </row>
    <row r="361" spans="3:3" ht="14.25" customHeight="1">
      <c r="C361" s="68"/>
    </row>
    <row r="362" spans="3:3" ht="14.25" customHeight="1">
      <c r="C362" s="68"/>
    </row>
    <row r="363" spans="3:3" ht="14.25" customHeight="1">
      <c r="C363" s="68"/>
    </row>
    <row r="364" spans="3:3" ht="14.25" customHeight="1">
      <c r="C364" s="68"/>
    </row>
    <row r="365" spans="3:3" ht="14.25" customHeight="1">
      <c r="C365" s="68"/>
    </row>
    <row r="366" spans="3:3" ht="14.25" customHeight="1">
      <c r="C366" s="68"/>
    </row>
    <row r="367" spans="3:3" ht="14.25" customHeight="1">
      <c r="C367" s="68"/>
    </row>
    <row r="368" spans="3:3" ht="14.25" customHeight="1">
      <c r="C368" s="68"/>
    </row>
    <row r="369" spans="3:3" ht="14.25" customHeight="1">
      <c r="C369" s="68"/>
    </row>
    <row r="370" spans="3:3" ht="14.25" customHeight="1">
      <c r="C370" s="68"/>
    </row>
    <row r="371" spans="3:3" ht="14.25" customHeight="1">
      <c r="C371" s="68"/>
    </row>
    <row r="372" spans="3:3" ht="14.25" customHeight="1">
      <c r="C372" s="68"/>
    </row>
    <row r="373" spans="3:3" ht="14.25" customHeight="1">
      <c r="C373" s="68"/>
    </row>
    <row r="374" spans="3:3" ht="14.25" customHeight="1">
      <c r="C374" s="68"/>
    </row>
    <row r="375" spans="3:3" ht="14.25" customHeight="1">
      <c r="C375" s="68"/>
    </row>
    <row r="376" spans="3:3" ht="14.25" customHeight="1">
      <c r="C376" s="68"/>
    </row>
    <row r="377" spans="3:3" ht="14.25" customHeight="1">
      <c r="C377" s="68"/>
    </row>
    <row r="378" spans="3:3" ht="14.25" customHeight="1">
      <c r="C378" s="68"/>
    </row>
    <row r="379" spans="3:3" ht="14.25" customHeight="1">
      <c r="C379" s="68"/>
    </row>
    <row r="380" spans="3:3" ht="14.25" customHeight="1">
      <c r="C380" s="68"/>
    </row>
    <row r="381" spans="3:3" ht="14.25" customHeight="1">
      <c r="C381" s="68"/>
    </row>
    <row r="382" spans="3:3" ht="14.25" customHeight="1">
      <c r="C382" s="68"/>
    </row>
    <row r="383" spans="3:3" ht="14.25" customHeight="1">
      <c r="C383" s="68"/>
    </row>
    <row r="384" spans="3:3" ht="14.25" customHeight="1">
      <c r="C384" s="68"/>
    </row>
    <row r="385" spans="3:3" ht="14.25" customHeight="1">
      <c r="C385" s="68"/>
    </row>
    <row r="386" spans="3:3" ht="14.25" customHeight="1">
      <c r="C386" s="68"/>
    </row>
    <row r="387" spans="3:3" ht="14.25" customHeight="1">
      <c r="C387" s="68"/>
    </row>
    <row r="388" spans="3:3" ht="14.25" customHeight="1">
      <c r="C388" s="68"/>
    </row>
    <row r="389" spans="3:3" ht="14.25" customHeight="1">
      <c r="C389" s="68"/>
    </row>
    <row r="390" spans="3:3" ht="14.25" customHeight="1">
      <c r="C390" s="68"/>
    </row>
    <row r="391" spans="3:3" ht="14.25" customHeight="1">
      <c r="C391" s="68"/>
    </row>
    <row r="392" spans="3:3" ht="14.25" customHeight="1">
      <c r="C392" s="68"/>
    </row>
    <row r="393" spans="3:3" ht="14.25" customHeight="1">
      <c r="C393" s="68"/>
    </row>
    <row r="394" spans="3:3" ht="14.25" customHeight="1">
      <c r="C394" s="68"/>
    </row>
    <row r="395" spans="3:3" ht="14.25" customHeight="1">
      <c r="C395" s="68"/>
    </row>
    <row r="396" spans="3:3" ht="14.25" customHeight="1">
      <c r="C396" s="68"/>
    </row>
    <row r="397" spans="3:3" ht="14.25" customHeight="1">
      <c r="C397" s="68"/>
    </row>
    <row r="398" spans="3:3" ht="14.25" customHeight="1">
      <c r="C398" s="68"/>
    </row>
    <row r="399" spans="3:3" ht="14.25" customHeight="1">
      <c r="C399" s="68"/>
    </row>
    <row r="400" spans="3:3" ht="14.25" customHeight="1">
      <c r="C400" s="68"/>
    </row>
    <row r="401" spans="3:3" ht="14.25" customHeight="1">
      <c r="C401" s="68"/>
    </row>
    <row r="402" spans="3:3" ht="14.25" customHeight="1">
      <c r="C402" s="68"/>
    </row>
    <row r="403" spans="3:3" ht="14.25" customHeight="1">
      <c r="C403" s="68"/>
    </row>
    <row r="404" spans="3:3" ht="14.25" customHeight="1">
      <c r="C404" s="68"/>
    </row>
    <row r="405" spans="3:3" ht="14.25" customHeight="1">
      <c r="C405" s="68"/>
    </row>
    <row r="406" spans="3:3" ht="14.25" customHeight="1">
      <c r="C406" s="68"/>
    </row>
    <row r="407" spans="3:3" ht="14.25" customHeight="1">
      <c r="C407" s="68"/>
    </row>
    <row r="408" spans="3:3" ht="14.25" customHeight="1">
      <c r="C408" s="68"/>
    </row>
    <row r="409" spans="3:3" ht="14.25" customHeight="1">
      <c r="C409" s="68"/>
    </row>
    <row r="410" spans="3:3" ht="14.25" customHeight="1">
      <c r="C410" s="68"/>
    </row>
    <row r="411" spans="3:3" ht="14.25" customHeight="1">
      <c r="C411" s="68"/>
    </row>
    <row r="412" spans="3:3" ht="14.25" customHeight="1">
      <c r="C412" s="68"/>
    </row>
    <row r="413" spans="3:3" ht="14.25" customHeight="1">
      <c r="C413" s="68"/>
    </row>
    <row r="414" spans="3:3" ht="14.25" customHeight="1">
      <c r="C414" s="68"/>
    </row>
    <row r="415" spans="3:3" ht="14.25" customHeight="1">
      <c r="C415" s="68"/>
    </row>
    <row r="416" spans="3:3" ht="14.25" customHeight="1">
      <c r="C416" s="68"/>
    </row>
    <row r="417" spans="3:3" ht="14.25" customHeight="1">
      <c r="C417" s="68"/>
    </row>
    <row r="418" spans="3:3" ht="14.25" customHeight="1">
      <c r="C418" s="68"/>
    </row>
    <row r="419" spans="3:3" ht="14.25" customHeight="1">
      <c r="C419" s="68"/>
    </row>
    <row r="420" spans="3:3" ht="14.25" customHeight="1">
      <c r="C420" s="68"/>
    </row>
    <row r="421" spans="3:3" ht="14.25" customHeight="1">
      <c r="C421" s="68"/>
    </row>
    <row r="422" spans="3:3" ht="14.25" customHeight="1">
      <c r="C422" s="68"/>
    </row>
    <row r="423" spans="3:3" ht="14.25" customHeight="1">
      <c r="C423" s="68"/>
    </row>
    <row r="424" spans="3:3" ht="14.25" customHeight="1">
      <c r="C424" s="68"/>
    </row>
    <row r="425" spans="3:3" ht="14.25" customHeight="1">
      <c r="C425" s="68"/>
    </row>
    <row r="426" spans="3:3" ht="14.25" customHeight="1">
      <c r="C426" s="68"/>
    </row>
    <row r="427" spans="3:3" ht="14.25" customHeight="1">
      <c r="C427" s="68"/>
    </row>
    <row r="428" spans="3:3" ht="14.25" customHeight="1">
      <c r="C428" s="68"/>
    </row>
    <row r="429" spans="3:3" ht="14.25" customHeight="1">
      <c r="C429" s="68"/>
    </row>
    <row r="430" spans="3:3" ht="14.25" customHeight="1">
      <c r="C430" s="68"/>
    </row>
    <row r="431" spans="3:3" ht="14.25" customHeight="1">
      <c r="C431" s="68"/>
    </row>
    <row r="432" spans="3:3" ht="14.25" customHeight="1">
      <c r="C432" s="68"/>
    </row>
    <row r="433" spans="3:3" ht="14.25" customHeight="1">
      <c r="C433" s="68"/>
    </row>
    <row r="434" spans="3:3" ht="14.25" customHeight="1">
      <c r="C434" s="68"/>
    </row>
    <row r="435" spans="3:3" ht="14.25" customHeight="1">
      <c r="C435" s="68"/>
    </row>
    <row r="436" spans="3:3" ht="14.25" customHeight="1">
      <c r="C436" s="68"/>
    </row>
    <row r="437" spans="3:3" ht="14.25" customHeight="1">
      <c r="C437" s="68"/>
    </row>
    <row r="438" spans="3:3" ht="14.25" customHeight="1">
      <c r="C438" s="68"/>
    </row>
    <row r="439" spans="3:3" ht="14.25" customHeight="1">
      <c r="C439" s="68"/>
    </row>
    <row r="440" spans="3:3" ht="14.25" customHeight="1">
      <c r="C440" s="68"/>
    </row>
    <row r="441" spans="3:3" ht="14.25" customHeight="1">
      <c r="C441" s="68"/>
    </row>
    <row r="442" spans="3:3" ht="14.25" customHeight="1">
      <c r="C442" s="68"/>
    </row>
    <row r="443" spans="3:3" ht="14.25" customHeight="1">
      <c r="C443" s="68"/>
    </row>
    <row r="444" spans="3:3" ht="14.25" customHeight="1">
      <c r="C444" s="68"/>
    </row>
    <row r="445" spans="3:3" ht="14.25" customHeight="1">
      <c r="C445" s="68"/>
    </row>
    <row r="446" spans="3:3" ht="14.25" customHeight="1">
      <c r="C446" s="68"/>
    </row>
    <row r="447" spans="3:3" ht="14.25" customHeight="1">
      <c r="C447" s="68"/>
    </row>
    <row r="448" spans="3:3" ht="14.25" customHeight="1">
      <c r="C448" s="68"/>
    </row>
    <row r="449" spans="3:3" ht="14.25" customHeight="1">
      <c r="C449" s="68"/>
    </row>
    <row r="450" spans="3:3" ht="14.25" customHeight="1">
      <c r="C450" s="68"/>
    </row>
    <row r="451" spans="3:3" ht="14.25" customHeight="1">
      <c r="C451" s="68"/>
    </row>
    <row r="452" spans="3:3" ht="14.25" customHeight="1">
      <c r="C452" s="68"/>
    </row>
    <row r="453" spans="3:3" ht="14.25" customHeight="1">
      <c r="C453" s="68"/>
    </row>
    <row r="454" spans="3:3" ht="14.25" customHeight="1">
      <c r="C454" s="68"/>
    </row>
    <row r="455" spans="3:3" ht="14.25" customHeight="1">
      <c r="C455" s="68"/>
    </row>
    <row r="456" spans="3:3" ht="14.25" customHeight="1">
      <c r="C456" s="68"/>
    </row>
    <row r="457" spans="3:3" ht="14.25" customHeight="1">
      <c r="C457" s="68"/>
    </row>
    <row r="458" spans="3:3" ht="14.25" customHeight="1">
      <c r="C458" s="68"/>
    </row>
    <row r="459" spans="3:3" ht="14.25" customHeight="1">
      <c r="C459" s="68"/>
    </row>
    <row r="460" spans="3:3" ht="14.25" customHeight="1">
      <c r="C460" s="68"/>
    </row>
    <row r="461" spans="3:3" ht="14.25" customHeight="1">
      <c r="C461" s="68"/>
    </row>
    <row r="462" spans="3:3" ht="14.25" customHeight="1">
      <c r="C462" s="68"/>
    </row>
    <row r="463" spans="3:3" ht="14.25" customHeight="1">
      <c r="C463" s="68"/>
    </row>
    <row r="464" spans="3:3" ht="14.25" customHeight="1">
      <c r="C464" s="68"/>
    </row>
    <row r="465" spans="3:3" ht="14.25" customHeight="1">
      <c r="C465" s="68"/>
    </row>
    <row r="466" spans="3:3" ht="14.25" customHeight="1">
      <c r="C466" s="68"/>
    </row>
    <row r="467" spans="3:3" ht="14.25" customHeight="1">
      <c r="C467" s="68"/>
    </row>
    <row r="468" spans="3:3" ht="14.25" customHeight="1">
      <c r="C468" s="68"/>
    </row>
    <row r="469" spans="3:3" ht="14.25" customHeight="1">
      <c r="C469" s="68"/>
    </row>
    <row r="470" spans="3:3" ht="14.25" customHeight="1">
      <c r="C470" s="68"/>
    </row>
    <row r="471" spans="3:3" ht="14.25" customHeight="1">
      <c r="C471" s="68"/>
    </row>
    <row r="472" spans="3:3" ht="14.25" customHeight="1">
      <c r="C472" s="68"/>
    </row>
    <row r="473" spans="3:3" ht="14.25" customHeight="1">
      <c r="C473" s="68"/>
    </row>
    <row r="474" spans="3:3" ht="14.25" customHeight="1">
      <c r="C474" s="68"/>
    </row>
    <row r="475" spans="3:3" ht="14.25" customHeight="1">
      <c r="C475" s="68"/>
    </row>
    <row r="476" spans="3:3" ht="14.25" customHeight="1">
      <c r="C476" s="68"/>
    </row>
    <row r="477" spans="3:3" ht="14.25" customHeight="1">
      <c r="C477" s="68"/>
    </row>
    <row r="478" spans="3:3" ht="14.25" customHeight="1">
      <c r="C478" s="68"/>
    </row>
    <row r="479" spans="3:3" ht="14.25" customHeight="1">
      <c r="C479" s="68"/>
    </row>
    <row r="480" spans="3:3" ht="14.25" customHeight="1">
      <c r="C480" s="68"/>
    </row>
    <row r="481" spans="3:3" ht="14.25" customHeight="1">
      <c r="C481" s="68"/>
    </row>
    <row r="482" spans="3:3" ht="14.25" customHeight="1">
      <c r="C482" s="68"/>
    </row>
    <row r="483" spans="3:3" ht="14.25" customHeight="1">
      <c r="C483" s="68"/>
    </row>
    <row r="484" spans="3:3" ht="14.25" customHeight="1">
      <c r="C484" s="68"/>
    </row>
    <row r="485" spans="3:3" ht="14.25" customHeight="1">
      <c r="C485" s="68"/>
    </row>
    <row r="486" spans="3:3" ht="14.25" customHeight="1">
      <c r="C486" s="68"/>
    </row>
  </sheetData>
  <sheetProtection selectLockedCells="1"/>
  <mergeCells count="7">
    <mergeCell ref="J6:J9"/>
    <mergeCell ref="C3:D5"/>
    <mergeCell ref="F6:F9"/>
    <mergeCell ref="E4:K5"/>
    <mergeCell ref="G6:G9"/>
    <mergeCell ref="H6:H9"/>
    <mergeCell ref="I6:I9"/>
  </mergeCells>
  <conditionalFormatting sqref="H6:I1048576">
    <cfRule type="cellIs" dxfId="52" priority="6" operator="between">
      <formula>4.4</formula>
      <formula>5</formula>
    </cfRule>
    <cfRule type="cellIs" dxfId="51" priority="7" operator="between">
      <formula>3.6</formula>
      <formula>4.4</formula>
    </cfRule>
    <cfRule type="cellIs" dxfId="50" priority="8" operator="between">
      <formula>2.6</formula>
      <formula>3.6</formula>
    </cfRule>
    <cfRule type="cellIs" dxfId="49" priority="9" operator="between">
      <formula>1.6</formula>
      <formula>2.6</formula>
    </cfRule>
    <cfRule type="cellIs" dxfId="48" priority="10" operator="between">
      <formula>1</formula>
      <formula>1.6</formula>
    </cfRule>
  </conditionalFormatting>
  <conditionalFormatting sqref="O5">
    <cfRule type="cellIs" dxfId="47" priority="25" operator="greaterThan">
      <formula>1</formula>
    </cfRule>
  </conditionalFormatting>
  <conditionalFormatting sqref="O5:O7">
    <cfRule type="cellIs" dxfId="46" priority="23" operator="lessThan">
      <formula>0</formula>
    </cfRule>
    <cfRule type="cellIs" dxfId="45" priority="24" operator="greaterThan">
      <formula>0</formula>
    </cfRule>
  </conditionalFormatting>
  <conditionalFormatting sqref="C3">
    <cfRule type="cellIs" dxfId="44" priority="1" operator="greaterThan">
      <formula>1.1</formula>
    </cfRule>
    <cfRule type="cellIs" dxfId="43" priority="2" operator="between">
      <formula>0.9</formula>
      <formula>1.1</formula>
    </cfRule>
    <cfRule type="cellIs" dxfId="42" priority="3" operator="between">
      <formula>0.8</formula>
      <formula>0.9</formula>
    </cfRule>
    <cfRule type="cellIs" dxfId="41" priority="4" operator="lessThan">
      <formula>0.8</formula>
    </cfRule>
  </conditionalFormatting>
  <dataValidations count="1">
    <dataValidation type="decimal" allowBlank="1" showInputMessage="1" showErrorMessage="1" sqref="H11:H206" xr:uid="{311925FB-E9C0-074E-B9DA-B1FF85259E28}">
      <formula1>1</formula1>
      <formula2>5</formula2>
    </dataValidation>
  </dataValidations>
  <pageMargins left="0.25" right="0.25" top="0.75" bottom="0.75" header="0.3" footer="0.3"/>
  <pageSetup paperSize="9" scale="1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B8DB-FD51-4B93-A959-09683F0A1678}">
  <sheetPr>
    <tabColor rgb="FFDDEBF7"/>
    <pageSetUpPr fitToPage="1"/>
  </sheetPr>
  <dimension ref="A1:P326"/>
  <sheetViews>
    <sheetView zoomScale="72" zoomScaleNormal="100" workbookViewId="0">
      <selection activeCell="E37" sqref="E37"/>
    </sheetView>
  </sheetViews>
  <sheetFormatPr defaultColWidth="9.140625" defaultRowHeight="14.25" customHeight="1"/>
  <cols>
    <col min="1" max="1" width="3.5703125" style="171" customWidth="1"/>
    <col min="2" max="2" width="3.5703125" style="53" customWidth="1"/>
    <col min="3" max="4" width="4.7109375" style="53" customWidth="1"/>
    <col min="5" max="5" width="86.42578125" style="53" customWidth="1"/>
    <col min="6" max="6" width="3.5703125" style="53" customWidth="1"/>
    <col min="7" max="7" width="3.5703125" style="55" customWidth="1"/>
    <col min="8" max="9" width="3.5703125" style="53" customWidth="1"/>
    <col min="10" max="10" width="5.7109375" style="53" customWidth="1"/>
    <col min="11" max="11" width="80.7109375" style="53" customWidth="1"/>
    <col min="12" max="13" width="3.5703125" style="53" customWidth="1"/>
    <col min="14" max="14" width="15.42578125" style="63" customWidth="1"/>
    <col min="15" max="15" width="10.28515625" style="103" customWidth="1"/>
    <col min="16" max="16384" width="9.140625" style="53"/>
  </cols>
  <sheetData>
    <row r="1" spans="1:16" s="49" customFormat="1" ht="26.1" customHeight="1">
      <c r="A1" s="167"/>
      <c r="B1" s="167"/>
      <c r="C1" s="168" t="s">
        <v>242</v>
      </c>
      <c r="D1" s="167"/>
      <c r="E1" s="167"/>
      <c r="F1" s="167"/>
      <c r="G1" s="169"/>
      <c r="H1" s="170"/>
      <c r="I1" s="170"/>
      <c r="J1" s="170"/>
      <c r="K1" s="170" t="str">
        <f>_xlfn.CONCAT(Synthèse!C1, " // Cours ", Synthèse!H3)</f>
        <v>Kangourou / Toto Tutu // Cours RU - Chef de camp JS SdC/T</v>
      </c>
      <c r="L1" s="167"/>
      <c r="N1" s="50" t="s">
        <v>121</v>
      </c>
      <c r="O1" s="51"/>
    </row>
    <row r="2" spans="1:16" ht="15">
      <c r="D2" s="54"/>
      <c r="E2" s="54"/>
      <c r="F2" s="54"/>
      <c r="N2" s="56">
        <f>COUNTBLANK(E11:E162)</f>
        <v>74</v>
      </c>
      <c r="O2" s="57">
        <f>COUNTBLANK(H11:H163)-N2</f>
        <v>79</v>
      </c>
      <c r="P2" s="53" t="s">
        <v>122</v>
      </c>
    </row>
    <row r="3" spans="1:16" ht="15" customHeight="1">
      <c r="C3" s="295" t="str">
        <f>O6</f>
        <v/>
      </c>
      <c r="D3" s="296"/>
      <c r="E3" s="58" t="s">
        <v>47</v>
      </c>
      <c r="F3" s="58"/>
      <c r="G3" s="59"/>
      <c r="H3" s="60"/>
      <c r="I3" s="60"/>
      <c r="J3" s="61"/>
      <c r="K3" s="62" t="s">
        <v>48</v>
      </c>
      <c r="O3" s="64" t="e">
        <f>AVERAGEIF(H11:H163,"&lt;&gt;0")</f>
        <v>#DIV/0!</v>
      </c>
      <c r="P3" s="53" t="s">
        <v>123</v>
      </c>
    </row>
    <row r="4" spans="1:16" ht="15" customHeight="1">
      <c r="C4" s="297"/>
      <c r="D4" s="298"/>
      <c r="E4" s="307"/>
      <c r="F4" s="307"/>
      <c r="G4" s="307"/>
      <c r="H4" s="307"/>
      <c r="I4" s="307"/>
      <c r="J4" s="307"/>
      <c r="K4" s="308"/>
      <c r="O4" s="65" t="str" cm="1">
        <f t="array" ref="O4">IFERROR(SUMPRODUCT(N11:N163,F11:F163)/SUMPRODUCT(--(N11:N163&lt;&gt;""),F11:F163),"")</f>
        <v/>
      </c>
      <c r="P4" s="53" t="s">
        <v>124</v>
      </c>
    </row>
    <row r="5" spans="1:16" ht="15" customHeight="1">
      <c r="C5" s="299"/>
      <c r="D5" s="300"/>
      <c r="E5" s="309"/>
      <c r="F5" s="309"/>
      <c r="G5" s="309"/>
      <c r="H5" s="309"/>
      <c r="I5" s="309"/>
      <c r="J5" s="309"/>
      <c r="K5" s="310"/>
      <c r="O5" s="64" t="e">
        <f>C3-O4</f>
        <v>#VALUE!</v>
      </c>
      <c r="P5" s="53" t="s">
        <v>125</v>
      </c>
    </row>
    <row r="6" spans="1:16" ht="15" customHeight="1">
      <c r="C6" s="66"/>
      <c r="D6" s="66"/>
      <c r="E6" s="66"/>
      <c r="F6" s="301" t="s">
        <v>126</v>
      </c>
      <c r="G6" s="293" t="s">
        <v>127</v>
      </c>
      <c r="H6" s="293" t="s">
        <v>128</v>
      </c>
      <c r="I6" s="293" t="s">
        <v>129</v>
      </c>
      <c r="J6" s="293" t="s">
        <v>130</v>
      </c>
      <c r="O6" s="225" t="str">
        <f>IFERROR(ROUND(IF(O4&lt;=3, (O4-1)/2, 1 + (O4-3)*0.25),2),"")</f>
        <v/>
      </c>
      <c r="P6" s="53" t="s">
        <v>131</v>
      </c>
    </row>
    <row r="7" spans="1:16" s="68" customFormat="1" ht="18" customHeight="1">
      <c r="A7" s="172"/>
      <c r="C7" s="173" t="s">
        <v>132</v>
      </c>
      <c r="D7" s="174"/>
      <c r="E7" s="174"/>
      <c r="F7" s="302"/>
      <c r="G7" s="294"/>
      <c r="H7" s="294"/>
      <c r="I7" s="294"/>
      <c r="J7" s="294"/>
      <c r="K7" s="174"/>
      <c r="N7" s="71"/>
      <c r="O7" s="72"/>
    </row>
    <row r="8" spans="1:16" s="68" customFormat="1" ht="18" customHeight="1">
      <c r="A8" s="172"/>
      <c r="D8" s="73" t="s">
        <v>133</v>
      </c>
      <c r="E8" s="74"/>
      <c r="F8" s="302"/>
      <c r="G8" s="294"/>
      <c r="H8" s="294"/>
      <c r="I8" s="294"/>
      <c r="J8" s="294"/>
      <c r="K8" s="74"/>
      <c r="N8" s="71" t="s">
        <v>134</v>
      </c>
      <c r="O8" s="64"/>
    </row>
    <row r="9" spans="1:16" s="68" customFormat="1" ht="18" customHeight="1">
      <c r="A9" s="172"/>
      <c r="D9" s="76"/>
      <c r="E9" s="68" t="s">
        <v>135</v>
      </c>
      <c r="F9" s="302"/>
      <c r="G9" s="294"/>
      <c r="H9" s="294"/>
      <c r="I9" s="294"/>
      <c r="J9" s="294"/>
      <c r="K9" s="66" t="s">
        <v>50</v>
      </c>
      <c r="N9" s="71" t="s">
        <v>136</v>
      </c>
      <c r="O9" s="64" t="s">
        <v>137</v>
      </c>
    </row>
    <row r="10" spans="1:16" s="68" customFormat="1" ht="18" customHeight="1">
      <c r="A10" s="172"/>
      <c r="G10" s="77"/>
      <c r="H10" s="66"/>
      <c r="I10" s="66"/>
      <c r="J10" s="66"/>
      <c r="K10" s="66"/>
      <c r="N10" s="71"/>
      <c r="O10" s="64"/>
    </row>
    <row r="11" spans="1:16" s="68" customFormat="1" ht="30" customHeight="1" thickBot="1">
      <c r="A11" s="172"/>
      <c r="C11" s="175" t="s">
        <v>243</v>
      </c>
      <c r="D11" s="175"/>
      <c r="E11" s="175"/>
      <c r="F11" s="176">
        <v>2</v>
      </c>
      <c r="G11" s="177"/>
      <c r="H11" s="178"/>
      <c r="I11" s="179"/>
      <c r="J11" s="233" t="str">
        <f>IFERROR(ROUND(IF(N11&lt;=3, (N11-1)/2, 1 + (N11-3)*0.25),2),"")</f>
        <v/>
      </c>
      <c r="K11" s="180"/>
      <c r="L11" s="84"/>
      <c r="M11" s="64"/>
      <c r="N11" s="71" t="str" cm="1">
        <f t="array" ref="N11">IFERROR(SUMPRODUCT(I12:I22,G12:G22)/SUMPRODUCT(--(I12:I22&lt;&gt;""),G12:G22),"")</f>
        <v/>
      </c>
      <c r="O11" s="64" t="e">
        <f>J11-N11</f>
        <v>#VALUE!</v>
      </c>
    </row>
    <row r="12" spans="1:16" s="68" customFormat="1" ht="18" customHeight="1">
      <c r="A12" s="172"/>
      <c r="D12" s="86" t="s">
        <v>244</v>
      </c>
      <c r="E12" s="87"/>
      <c r="F12" s="87"/>
      <c r="G12" s="88">
        <v>1</v>
      </c>
      <c r="H12" s="89"/>
      <c r="I12" s="90" t="str">
        <f>IFERROR(AVERAGEIF(H13:H16, "&lt;&gt;0"), "")</f>
        <v/>
      </c>
      <c r="J12" s="90"/>
      <c r="K12" s="91"/>
      <c r="N12" s="71"/>
      <c r="O12" s="64"/>
    </row>
    <row r="13" spans="1:16" s="68" customFormat="1" ht="18" customHeight="1">
      <c r="A13" s="172"/>
      <c r="D13" s="92"/>
      <c r="E13" s="68" t="s">
        <v>245</v>
      </c>
      <c r="F13" s="93"/>
      <c r="G13" s="94"/>
      <c r="H13" s="95"/>
      <c r="I13" s="96"/>
      <c r="J13" s="96"/>
      <c r="K13" s="182"/>
      <c r="N13" s="71"/>
      <c r="O13" s="64"/>
    </row>
    <row r="14" spans="1:16" s="68" customFormat="1" ht="18" customHeight="1">
      <c r="A14" s="172"/>
      <c r="D14" s="92"/>
      <c r="E14" s="68" t="s">
        <v>246</v>
      </c>
      <c r="F14" s="93"/>
      <c r="G14" s="94"/>
      <c r="H14" s="95"/>
      <c r="I14" s="96"/>
      <c r="J14" s="96"/>
      <c r="K14" s="182"/>
      <c r="N14" s="71"/>
      <c r="O14" s="64"/>
    </row>
    <row r="15" spans="1:16" s="68" customFormat="1" ht="18" customHeight="1">
      <c r="A15" s="172"/>
      <c r="D15" s="92"/>
      <c r="E15" s="68" t="s">
        <v>247</v>
      </c>
      <c r="F15" s="93"/>
      <c r="G15" s="94"/>
      <c r="H15" s="95"/>
      <c r="I15" s="96"/>
      <c r="J15" s="96"/>
      <c r="K15" s="182"/>
      <c r="N15" s="71"/>
      <c r="O15" s="64"/>
    </row>
    <row r="16" spans="1:16" s="68" customFormat="1" ht="18" customHeight="1">
      <c r="A16" s="172"/>
      <c r="D16" s="92"/>
      <c r="E16" s="68" t="s">
        <v>248</v>
      </c>
      <c r="F16" s="93"/>
      <c r="G16" s="94"/>
      <c r="H16" s="95"/>
      <c r="I16" s="96"/>
      <c r="J16" s="96"/>
      <c r="K16" s="97"/>
      <c r="N16" s="71"/>
      <c r="O16" s="64"/>
    </row>
    <row r="17" spans="1:15" s="68" customFormat="1" ht="18" customHeight="1">
      <c r="A17" s="172"/>
      <c r="D17" s="86" t="s">
        <v>249</v>
      </c>
      <c r="E17" s="87"/>
      <c r="F17" s="87"/>
      <c r="G17" s="88">
        <v>2</v>
      </c>
      <c r="H17" s="89"/>
      <c r="I17" s="90" t="str">
        <f>IFERROR(AVERAGEIF(H18:H22, "&lt;&gt;0"), "")</f>
        <v/>
      </c>
      <c r="J17" s="90"/>
      <c r="K17" s="91"/>
      <c r="N17" s="71"/>
      <c r="O17" s="64"/>
    </row>
    <row r="18" spans="1:15" s="68" customFormat="1" ht="18" customHeight="1">
      <c r="A18" s="172"/>
      <c r="D18" s="92"/>
      <c r="E18" s="68" t="s">
        <v>250</v>
      </c>
      <c r="F18" s="93"/>
      <c r="G18" s="94"/>
      <c r="H18" s="95"/>
      <c r="I18" s="96"/>
      <c r="J18" s="96"/>
      <c r="K18" s="97"/>
      <c r="N18" s="71"/>
      <c r="O18" s="64"/>
    </row>
    <row r="19" spans="1:15" s="68" customFormat="1" ht="18" customHeight="1">
      <c r="A19" s="172"/>
      <c r="D19" s="92"/>
      <c r="E19" s="68" t="s">
        <v>251</v>
      </c>
      <c r="F19" s="93"/>
      <c r="G19" s="94"/>
      <c r="H19" s="95"/>
      <c r="I19" s="96"/>
      <c r="J19" s="96"/>
      <c r="K19" s="97"/>
      <c r="N19" s="71"/>
      <c r="O19" s="64"/>
    </row>
    <row r="20" spans="1:15" s="68" customFormat="1" ht="18" customHeight="1">
      <c r="A20" s="172"/>
      <c r="D20" s="92"/>
      <c r="E20" s="68" t="s">
        <v>252</v>
      </c>
      <c r="F20" s="93"/>
      <c r="G20" s="94"/>
      <c r="H20" s="95"/>
      <c r="I20" s="96"/>
      <c r="J20" s="96"/>
      <c r="K20" s="97"/>
      <c r="N20" s="71"/>
      <c r="O20" s="64"/>
    </row>
    <row r="21" spans="1:15" s="68" customFormat="1" ht="18" customHeight="1">
      <c r="A21" s="172"/>
      <c r="D21" s="92"/>
      <c r="E21" s="68" t="s">
        <v>253</v>
      </c>
      <c r="F21" s="93"/>
      <c r="G21" s="94"/>
      <c r="H21" s="95"/>
      <c r="I21" s="96"/>
      <c r="J21" s="96"/>
      <c r="K21" s="97"/>
      <c r="N21" s="71"/>
      <c r="O21" s="64"/>
    </row>
    <row r="22" spans="1:15" s="68" customFormat="1" ht="18" customHeight="1">
      <c r="A22" s="172"/>
      <c r="D22" s="92"/>
      <c r="E22" s="68" t="s">
        <v>254</v>
      </c>
      <c r="F22" s="93"/>
      <c r="G22" s="94"/>
      <c r="H22" s="95"/>
      <c r="I22" s="96"/>
      <c r="J22" s="96"/>
      <c r="K22" s="97"/>
      <c r="N22" s="71"/>
      <c r="O22" s="64"/>
    </row>
    <row r="23" spans="1:15" s="68" customFormat="1" ht="30" customHeight="1" thickBot="1">
      <c r="A23" s="172"/>
      <c r="C23" s="175" t="s">
        <v>255</v>
      </c>
      <c r="D23" s="175"/>
      <c r="E23" s="175"/>
      <c r="F23" s="176">
        <v>1</v>
      </c>
      <c r="G23" s="177"/>
      <c r="H23" s="178"/>
      <c r="I23" s="179"/>
      <c r="J23" s="233" t="str">
        <f>IFERROR(ROUND(IF(N23&lt;=3, (N23-1)/2, 1 + (N23-3)*0.25),2),"")</f>
        <v/>
      </c>
      <c r="K23" s="180"/>
      <c r="L23" s="84"/>
      <c r="M23" s="64"/>
      <c r="N23" s="71" t="str" cm="1">
        <f t="array" ref="N23">IFERROR(SUMPRODUCT(I24:I51,G24:G51)/SUMPRODUCT(--(I24:I51&lt;&gt;""),G24:G51),"")</f>
        <v/>
      </c>
      <c r="O23" s="64" t="e">
        <f>J23-N23</f>
        <v>#VALUE!</v>
      </c>
    </row>
    <row r="24" spans="1:15" s="68" customFormat="1" ht="18" customHeight="1">
      <c r="A24" s="172"/>
      <c r="D24" s="86" t="s">
        <v>256</v>
      </c>
      <c r="E24" s="87"/>
      <c r="F24" s="87"/>
      <c r="G24" s="88">
        <v>1</v>
      </c>
      <c r="H24" s="89"/>
      <c r="I24" s="90" t="str">
        <f>IFERROR(AVERAGEIF(H25:H32, "&lt;&gt;0"), "")</f>
        <v/>
      </c>
      <c r="J24" s="90"/>
      <c r="K24" s="91"/>
      <c r="N24" s="71"/>
      <c r="O24" s="64"/>
    </row>
    <row r="25" spans="1:15" s="68" customFormat="1" ht="18" customHeight="1">
      <c r="A25" s="172"/>
      <c r="D25" s="92"/>
      <c r="E25" s="68" t="s">
        <v>257</v>
      </c>
      <c r="F25" s="93"/>
      <c r="G25" s="94"/>
      <c r="H25" s="95"/>
      <c r="I25" s="96"/>
      <c r="J25" s="96"/>
      <c r="K25" s="97"/>
      <c r="N25" s="71"/>
      <c r="O25" s="64"/>
    </row>
    <row r="26" spans="1:15" s="68" customFormat="1" ht="18" customHeight="1">
      <c r="A26" s="172"/>
      <c r="D26" s="92"/>
      <c r="E26" s="68" t="s">
        <v>258</v>
      </c>
      <c r="F26" s="93"/>
      <c r="G26" s="94"/>
      <c r="H26" s="95"/>
      <c r="I26" s="96"/>
      <c r="J26" s="96"/>
      <c r="K26" s="97"/>
      <c r="N26" s="71"/>
      <c r="O26" s="64"/>
    </row>
    <row r="27" spans="1:15" s="68" customFormat="1" ht="18" customHeight="1">
      <c r="A27" s="172"/>
      <c r="D27" s="92"/>
      <c r="E27" s="68" t="s">
        <v>259</v>
      </c>
      <c r="F27" s="93"/>
      <c r="G27" s="94"/>
      <c r="H27" s="95"/>
      <c r="I27" s="96"/>
      <c r="J27" s="96"/>
      <c r="K27" s="97"/>
      <c r="N27" s="71"/>
      <c r="O27" s="64"/>
    </row>
    <row r="28" spans="1:15" s="68" customFormat="1" ht="18" customHeight="1">
      <c r="A28" s="172"/>
      <c r="D28" s="92"/>
      <c r="E28" s="68" t="s">
        <v>260</v>
      </c>
      <c r="F28" s="93"/>
      <c r="G28" s="94"/>
      <c r="H28" s="95"/>
      <c r="I28" s="96"/>
      <c r="J28" s="96"/>
      <c r="K28" s="97"/>
      <c r="N28" s="71"/>
      <c r="O28" s="64"/>
    </row>
    <row r="29" spans="1:15" s="68" customFormat="1" ht="18" customHeight="1">
      <c r="A29" s="172"/>
      <c r="D29" s="92"/>
      <c r="E29" s="181" t="s">
        <v>261</v>
      </c>
      <c r="F29" s="93"/>
      <c r="G29" s="94"/>
      <c r="H29" s="95"/>
      <c r="I29" s="96"/>
      <c r="J29" s="96"/>
      <c r="K29" s="97"/>
      <c r="N29" s="71"/>
      <c r="O29" s="64"/>
    </row>
    <row r="30" spans="1:15" s="68" customFormat="1" ht="18" customHeight="1">
      <c r="A30" s="172"/>
      <c r="D30" s="92"/>
      <c r="E30" s="68" t="s">
        <v>262</v>
      </c>
      <c r="F30" s="93"/>
      <c r="G30" s="94"/>
      <c r="H30" s="95"/>
      <c r="I30" s="96"/>
      <c r="J30" s="96"/>
      <c r="K30" s="97"/>
      <c r="N30" s="71"/>
      <c r="O30" s="64"/>
    </row>
    <row r="31" spans="1:15" s="68" customFormat="1" ht="18" customHeight="1">
      <c r="A31" s="172"/>
      <c r="D31" s="92"/>
      <c r="E31" s="68" t="s">
        <v>263</v>
      </c>
      <c r="F31" s="93"/>
      <c r="G31" s="94"/>
      <c r="H31" s="95"/>
      <c r="I31" s="96"/>
      <c r="J31" s="96"/>
      <c r="K31" s="97"/>
      <c r="N31" s="71"/>
      <c r="O31" s="64"/>
    </row>
    <row r="32" spans="1:15" s="68" customFormat="1" ht="18" customHeight="1">
      <c r="A32" s="172"/>
      <c r="D32" s="92"/>
      <c r="E32" s="68" t="s">
        <v>264</v>
      </c>
      <c r="F32" s="93"/>
      <c r="G32" s="94"/>
      <c r="H32" s="95"/>
      <c r="I32" s="96"/>
      <c r="J32" s="96"/>
      <c r="K32" s="97"/>
      <c r="N32" s="71"/>
      <c r="O32" s="64"/>
    </row>
    <row r="33" spans="1:15" s="68" customFormat="1" ht="18" customHeight="1">
      <c r="A33" s="172"/>
      <c r="D33" s="86" t="s">
        <v>265</v>
      </c>
      <c r="E33" s="87"/>
      <c r="F33" s="87"/>
      <c r="G33" s="88">
        <v>1</v>
      </c>
      <c r="H33" s="89"/>
      <c r="I33" s="90" t="str">
        <f>IFERROR(AVERAGEIF(H34:H38, "&lt;&gt;0"), "")</f>
        <v/>
      </c>
      <c r="J33" s="90"/>
      <c r="K33" s="91"/>
      <c r="N33" s="71"/>
      <c r="O33" s="64"/>
    </row>
    <row r="34" spans="1:15" s="68" customFormat="1" ht="18" customHeight="1">
      <c r="A34" s="172"/>
      <c r="D34" s="92"/>
      <c r="E34" s="163" t="s">
        <v>266</v>
      </c>
      <c r="F34" s="93"/>
      <c r="G34" s="94"/>
      <c r="H34" s="95"/>
      <c r="I34" s="96"/>
      <c r="J34" s="96"/>
      <c r="K34" s="97"/>
      <c r="N34" s="71"/>
      <c r="O34" s="64"/>
    </row>
    <row r="35" spans="1:15" s="68" customFormat="1" ht="18" customHeight="1">
      <c r="A35" s="172"/>
      <c r="D35" s="92"/>
      <c r="E35" s="68" t="s">
        <v>267</v>
      </c>
      <c r="F35" s="93"/>
      <c r="G35" s="94"/>
      <c r="H35" s="95"/>
      <c r="I35" s="96"/>
      <c r="J35" s="96"/>
      <c r="K35" s="97"/>
      <c r="N35" s="71"/>
      <c r="O35" s="64"/>
    </row>
    <row r="36" spans="1:15" s="68" customFormat="1" ht="18" customHeight="1">
      <c r="A36" s="172"/>
      <c r="D36" s="92"/>
      <c r="E36" s="68" t="s">
        <v>268</v>
      </c>
      <c r="F36" s="93"/>
      <c r="G36" s="94"/>
      <c r="H36" s="95"/>
      <c r="I36" s="96"/>
      <c r="J36" s="96"/>
      <c r="K36" s="97"/>
      <c r="N36" s="71"/>
      <c r="O36" s="64"/>
    </row>
    <row r="37" spans="1:15" s="68" customFormat="1" ht="18" customHeight="1">
      <c r="A37" s="172"/>
      <c r="D37" s="92"/>
      <c r="E37" s="68" t="s">
        <v>269</v>
      </c>
      <c r="F37" s="93"/>
      <c r="G37" s="94"/>
      <c r="H37" s="95"/>
      <c r="I37" s="96"/>
      <c r="J37" s="96"/>
      <c r="K37" s="97"/>
      <c r="N37" s="71"/>
      <c r="O37" s="64"/>
    </row>
    <row r="38" spans="1:15" s="68" customFormat="1" ht="18" customHeight="1">
      <c r="A38" s="172"/>
      <c r="D38" s="92"/>
      <c r="E38" s="68" t="s">
        <v>270</v>
      </c>
      <c r="F38" s="93"/>
      <c r="G38" s="94"/>
      <c r="H38" s="95"/>
      <c r="I38" s="96"/>
      <c r="J38" s="96"/>
      <c r="K38" s="97"/>
      <c r="N38" s="71"/>
      <c r="O38" s="64"/>
    </row>
    <row r="39" spans="1:15" s="68" customFormat="1" ht="18" customHeight="1">
      <c r="A39" s="172"/>
      <c r="D39" s="238" t="s">
        <v>271</v>
      </c>
      <c r="E39" s="239"/>
      <c r="F39" s="87"/>
      <c r="G39" s="88">
        <v>1</v>
      </c>
      <c r="H39" s="89"/>
      <c r="I39" s="90" t="str">
        <f>IFERROR(AVERAGEIF(H40:H45, "&lt;&gt;0"), "")</f>
        <v/>
      </c>
      <c r="J39" s="90"/>
      <c r="K39" s="91"/>
      <c r="N39" s="71"/>
      <c r="O39" s="64"/>
    </row>
    <row r="40" spans="1:15" s="68" customFormat="1" ht="18" customHeight="1">
      <c r="A40" s="172"/>
      <c r="D40" s="240"/>
      <c r="E40" s="163" t="s">
        <v>272</v>
      </c>
      <c r="F40" s="93"/>
      <c r="G40" s="94"/>
      <c r="H40" s="95"/>
      <c r="I40" s="96"/>
      <c r="J40" s="96"/>
      <c r="K40" s="97"/>
      <c r="N40" s="71"/>
      <c r="O40" s="64"/>
    </row>
    <row r="41" spans="1:15" s="68" customFormat="1" ht="18" customHeight="1">
      <c r="A41" s="172"/>
      <c r="D41" s="240"/>
      <c r="E41" s="163" t="s">
        <v>273</v>
      </c>
      <c r="F41" s="93"/>
      <c r="G41" s="94"/>
      <c r="H41" s="95"/>
      <c r="I41" s="96"/>
      <c r="J41" s="96"/>
      <c r="K41" s="97"/>
      <c r="N41" s="71"/>
      <c r="O41" s="64"/>
    </row>
    <row r="42" spans="1:15" s="68" customFormat="1" ht="18" customHeight="1">
      <c r="A42" s="172"/>
      <c r="D42" s="240"/>
      <c r="E42" s="163" t="s">
        <v>274</v>
      </c>
      <c r="F42" s="93"/>
      <c r="G42" s="94"/>
      <c r="H42" s="95"/>
      <c r="I42" s="96"/>
      <c r="J42" s="96"/>
      <c r="K42" s="97"/>
      <c r="N42" s="71"/>
      <c r="O42" s="64"/>
    </row>
    <row r="43" spans="1:15" s="68" customFormat="1" ht="18" customHeight="1">
      <c r="A43" s="172"/>
      <c r="D43" s="240"/>
      <c r="E43" s="163" t="s">
        <v>275</v>
      </c>
      <c r="F43" s="93"/>
      <c r="G43" s="94"/>
      <c r="H43" s="95"/>
      <c r="I43" s="96"/>
      <c r="J43" s="96"/>
      <c r="K43" s="97"/>
      <c r="N43" s="71"/>
      <c r="O43" s="64"/>
    </row>
    <row r="44" spans="1:15" s="68" customFormat="1" ht="18" customHeight="1">
      <c r="A44" s="172"/>
      <c r="D44" s="240"/>
      <c r="E44" s="163" t="s">
        <v>276</v>
      </c>
      <c r="F44" s="93"/>
      <c r="G44" s="94"/>
      <c r="H44" s="95"/>
      <c r="I44" s="96"/>
      <c r="J44" s="96"/>
      <c r="K44" s="97"/>
      <c r="N44" s="71"/>
      <c r="O44" s="64"/>
    </row>
    <row r="45" spans="1:15" s="68" customFormat="1" ht="18" customHeight="1">
      <c r="A45" s="172"/>
      <c r="D45" s="240"/>
      <c r="E45" s="163" t="s">
        <v>277</v>
      </c>
      <c r="F45" s="93"/>
      <c r="G45" s="94"/>
      <c r="H45" s="95"/>
      <c r="I45" s="96"/>
      <c r="J45" s="96"/>
      <c r="K45" s="97"/>
      <c r="N45" s="71"/>
      <c r="O45" s="64"/>
    </row>
    <row r="46" spans="1:15" s="68" customFormat="1" ht="18" customHeight="1">
      <c r="A46" s="172"/>
      <c r="D46" s="86" t="s">
        <v>278</v>
      </c>
      <c r="E46" s="87"/>
      <c r="F46" s="87"/>
      <c r="G46" s="88">
        <v>1</v>
      </c>
      <c r="H46" s="89"/>
      <c r="I46" s="90" t="str">
        <f>IFERROR(AVERAGEIF(H47:H51, "&lt;&gt;0"), "")</f>
        <v/>
      </c>
      <c r="J46" s="90"/>
      <c r="K46" s="91"/>
      <c r="N46" s="71"/>
      <c r="O46" s="64"/>
    </row>
    <row r="47" spans="1:15" s="68" customFormat="1" ht="18" customHeight="1">
      <c r="A47" s="172"/>
      <c r="D47" s="92"/>
      <c r="E47" s="68" t="s">
        <v>279</v>
      </c>
      <c r="F47" s="93"/>
      <c r="G47" s="94"/>
      <c r="H47" s="95"/>
      <c r="I47" s="96"/>
      <c r="J47" s="96"/>
      <c r="K47" s="97"/>
      <c r="N47" s="71"/>
      <c r="O47" s="64"/>
    </row>
    <row r="48" spans="1:15" s="68" customFormat="1" ht="18" customHeight="1">
      <c r="A48" s="172"/>
      <c r="D48" s="92"/>
      <c r="E48" s="68" t="s">
        <v>280</v>
      </c>
      <c r="F48" s="93"/>
      <c r="G48" s="94"/>
      <c r="H48" s="95"/>
      <c r="I48" s="96"/>
      <c r="J48" s="96"/>
      <c r="K48" s="97"/>
      <c r="N48" s="71"/>
      <c r="O48" s="64"/>
    </row>
    <row r="49" spans="1:15" s="68" customFormat="1" ht="18" customHeight="1">
      <c r="A49" s="172"/>
      <c r="D49" s="92"/>
      <c r="E49" s="68" t="s">
        <v>281</v>
      </c>
      <c r="F49" s="93"/>
      <c r="G49" s="94"/>
      <c r="H49" s="95"/>
      <c r="I49" s="96"/>
      <c r="J49" s="96"/>
      <c r="K49" s="97"/>
      <c r="N49" s="71"/>
      <c r="O49" s="64"/>
    </row>
    <row r="50" spans="1:15" s="68" customFormat="1" ht="18" customHeight="1">
      <c r="A50" s="172"/>
      <c r="D50" s="92"/>
      <c r="E50" s="68" t="s">
        <v>282</v>
      </c>
      <c r="F50" s="93"/>
      <c r="G50" s="94"/>
      <c r="H50" s="95"/>
      <c r="I50" s="96"/>
      <c r="J50" s="96"/>
      <c r="K50" s="97"/>
      <c r="N50" s="71"/>
      <c r="O50" s="64"/>
    </row>
    <row r="51" spans="1:15" s="68" customFormat="1" ht="18" customHeight="1">
      <c r="A51" s="172"/>
      <c r="D51" s="92"/>
      <c r="E51" s="68" t="s">
        <v>283</v>
      </c>
      <c r="F51" s="93"/>
      <c r="G51" s="94"/>
      <c r="H51" s="95"/>
      <c r="I51" s="96"/>
      <c r="J51" s="96"/>
      <c r="K51" s="97"/>
      <c r="N51" s="71"/>
      <c r="O51" s="64"/>
    </row>
    <row r="52" spans="1:15" s="68" customFormat="1" ht="30" customHeight="1" thickBot="1">
      <c r="A52" s="172"/>
      <c r="C52" s="175" t="s">
        <v>284</v>
      </c>
      <c r="D52" s="175"/>
      <c r="E52" s="175"/>
      <c r="F52" s="176">
        <v>2</v>
      </c>
      <c r="G52" s="177"/>
      <c r="H52" s="178"/>
      <c r="I52" s="179"/>
      <c r="J52" s="233" t="str">
        <f>IFERROR(ROUND(IF(N52&lt;=3, (N52-1)/2, 1 + (N52-3)*0.25),2),"")</f>
        <v/>
      </c>
      <c r="K52" s="180"/>
      <c r="L52" s="84"/>
      <c r="M52" s="64"/>
      <c r="N52" s="71" t="str" cm="1">
        <f t="array" ref="N52">IFERROR(SUMPRODUCT(I53:I80,G53:G80)/SUMPRODUCT(--(I53:I80&lt;&gt;""),G53:G80),"")</f>
        <v/>
      </c>
      <c r="O52" s="64" t="e">
        <f>J52-N52</f>
        <v>#VALUE!</v>
      </c>
    </row>
    <row r="53" spans="1:15" s="68" customFormat="1" ht="18" customHeight="1">
      <c r="A53" s="172"/>
      <c r="D53" s="86" t="s">
        <v>285</v>
      </c>
      <c r="E53" s="87"/>
      <c r="F53" s="87"/>
      <c r="G53" s="88">
        <v>2</v>
      </c>
      <c r="H53" s="89"/>
      <c r="I53" s="90" t="str">
        <f>IFERROR(AVERAGEIF(H54:H57, "&lt;&gt;0"), "")</f>
        <v/>
      </c>
      <c r="J53" s="90"/>
      <c r="K53" s="91"/>
      <c r="N53" s="71"/>
      <c r="O53" s="64"/>
    </row>
    <row r="54" spans="1:15" s="68" customFormat="1" ht="18" customHeight="1">
      <c r="A54" s="172"/>
      <c r="D54" s="92"/>
      <c r="E54" s="68" t="s">
        <v>286</v>
      </c>
      <c r="F54" s="93"/>
      <c r="G54" s="94"/>
      <c r="H54" s="95"/>
      <c r="I54" s="96"/>
      <c r="J54" s="96"/>
      <c r="K54" s="182"/>
      <c r="N54" s="71"/>
      <c r="O54" s="64"/>
    </row>
    <row r="55" spans="1:15" s="68" customFormat="1" ht="18" customHeight="1">
      <c r="A55" s="172"/>
      <c r="D55" s="92"/>
      <c r="E55" s="68" t="s">
        <v>287</v>
      </c>
      <c r="F55" s="93"/>
      <c r="G55" s="94"/>
      <c r="H55" s="95"/>
      <c r="I55" s="96"/>
      <c r="J55" s="96"/>
      <c r="K55" s="97"/>
      <c r="N55" s="71"/>
      <c r="O55" s="64"/>
    </row>
    <row r="56" spans="1:15" s="68" customFormat="1" ht="18" customHeight="1">
      <c r="A56" s="172"/>
      <c r="D56" s="92"/>
      <c r="E56" s="68" t="s">
        <v>288</v>
      </c>
      <c r="F56" s="93"/>
      <c r="G56" s="94"/>
      <c r="H56" s="95"/>
      <c r="I56" s="96"/>
      <c r="J56" s="96"/>
      <c r="K56" s="97"/>
      <c r="N56" s="71"/>
      <c r="O56" s="64"/>
    </row>
    <row r="57" spans="1:15" s="68" customFormat="1" ht="18" customHeight="1">
      <c r="A57" s="172"/>
      <c r="D57" s="92"/>
      <c r="E57" s="68" t="s">
        <v>289</v>
      </c>
      <c r="F57" s="93"/>
      <c r="G57" s="94"/>
      <c r="H57" s="95"/>
      <c r="I57" s="96"/>
      <c r="J57" s="96"/>
      <c r="K57" s="97"/>
      <c r="N57" s="71"/>
      <c r="O57" s="64"/>
    </row>
    <row r="58" spans="1:15" s="68" customFormat="1" ht="18" customHeight="1">
      <c r="A58" s="172"/>
      <c r="D58" s="86" t="s">
        <v>290</v>
      </c>
      <c r="E58" s="87"/>
      <c r="F58" s="87"/>
      <c r="G58" s="88">
        <v>1</v>
      </c>
      <c r="H58" s="89"/>
      <c r="I58" s="90" t="str">
        <f>IFERROR(AVERAGEIF(H59:H62, "&lt;&gt;0"), "")</f>
        <v/>
      </c>
      <c r="J58" s="90"/>
      <c r="K58" s="91"/>
      <c r="N58" s="71"/>
      <c r="O58" s="64"/>
    </row>
    <row r="59" spans="1:15" s="68" customFormat="1" ht="18" customHeight="1">
      <c r="A59" s="172"/>
      <c r="D59" s="92"/>
      <c r="E59" s="68" t="s">
        <v>291</v>
      </c>
      <c r="F59" s="93"/>
      <c r="G59" s="94"/>
      <c r="H59" s="95"/>
      <c r="I59" s="96"/>
      <c r="J59" s="96"/>
      <c r="K59" s="97"/>
      <c r="N59" s="71"/>
      <c r="O59" s="64"/>
    </row>
    <row r="60" spans="1:15" s="68" customFormat="1" ht="18" customHeight="1">
      <c r="A60" s="172"/>
      <c r="D60" s="92"/>
      <c r="E60" s="68" t="s">
        <v>292</v>
      </c>
      <c r="F60" s="93"/>
      <c r="G60" s="94"/>
      <c r="H60" s="95"/>
      <c r="I60" s="96"/>
      <c r="J60" s="96"/>
      <c r="K60" s="97"/>
      <c r="N60" s="71"/>
      <c r="O60" s="64"/>
    </row>
    <row r="61" spans="1:15" s="68" customFormat="1" ht="18" customHeight="1">
      <c r="A61" s="172"/>
      <c r="D61" s="92"/>
      <c r="E61" s="68" t="s">
        <v>293</v>
      </c>
      <c r="F61" s="93"/>
      <c r="G61" s="94"/>
      <c r="H61" s="95"/>
      <c r="I61" s="96"/>
      <c r="J61" s="96"/>
      <c r="K61" s="97"/>
      <c r="N61" s="71"/>
      <c r="O61" s="64"/>
    </row>
    <row r="62" spans="1:15" s="68" customFormat="1" ht="18" customHeight="1">
      <c r="A62" s="172"/>
      <c r="D62" s="92"/>
      <c r="E62" s="68" t="s">
        <v>294</v>
      </c>
      <c r="F62" s="93"/>
      <c r="G62" s="94"/>
      <c r="H62" s="95"/>
      <c r="I62" s="96"/>
      <c r="J62" s="96"/>
      <c r="K62" s="97"/>
      <c r="N62" s="71"/>
      <c r="O62" s="64"/>
    </row>
    <row r="63" spans="1:15" s="68" customFormat="1" ht="18" customHeight="1">
      <c r="A63" s="172"/>
      <c r="D63" s="86" t="s">
        <v>295</v>
      </c>
      <c r="E63" s="87"/>
      <c r="F63" s="87"/>
      <c r="G63" s="88">
        <v>2</v>
      </c>
      <c r="H63" s="89"/>
      <c r="I63" s="90" t="str">
        <f>IFERROR(AVERAGEIF(H64:H67, "&lt;&gt;0"), "")</f>
        <v/>
      </c>
      <c r="J63" s="90"/>
      <c r="K63" s="91"/>
      <c r="N63" s="71"/>
      <c r="O63" s="64"/>
    </row>
    <row r="64" spans="1:15" s="68" customFormat="1" ht="18" customHeight="1">
      <c r="A64" s="172"/>
      <c r="D64" s="92"/>
      <c r="E64" s="68" t="s">
        <v>296</v>
      </c>
      <c r="F64" s="93"/>
      <c r="G64" s="94"/>
      <c r="H64" s="95"/>
      <c r="I64" s="96"/>
      <c r="J64" s="96"/>
      <c r="K64" s="97"/>
      <c r="N64" s="71"/>
      <c r="O64" s="64"/>
    </row>
    <row r="65" spans="1:15" s="68" customFormat="1" ht="18" customHeight="1">
      <c r="A65" s="172"/>
      <c r="D65" s="92"/>
      <c r="E65" s="68" t="s">
        <v>297</v>
      </c>
      <c r="F65" s="93"/>
      <c r="G65" s="94"/>
      <c r="H65" s="95"/>
      <c r="I65" s="96"/>
      <c r="J65" s="96"/>
      <c r="K65" s="97"/>
      <c r="N65" s="71"/>
      <c r="O65" s="64"/>
    </row>
    <row r="66" spans="1:15" s="68" customFormat="1" ht="18" customHeight="1">
      <c r="A66" s="172"/>
      <c r="D66" s="92"/>
      <c r="E66" s="68" t="s">
        <v>298</v>
      </c>
      <c r="F66" s="93"/>
      <c r="G66" s="94"/>
      <c r="H66" s="95"/>
      <c r="I66" s="96"/>
      <c r="J66" s="96"/>
      <c r="K66" s="97"/>
      <c r="N66" s="71"/>
      <c r="O66" s="64"/>
    </row>
    <row r="67" spans="1:15" s="68" customFormat="1" ht="18" customHeight="1">
      <c r="A67" s="172"/>
      <c r="D67" s="92"/>
      <c r="E67" s="68" t="s">
        <v>299</v>
      </c>
      <c r="F67" s="93"/>
      <c r="G67" s="94"/>
      <c r="H67" s="95"/>
      <c r="I67" s="96"/>
      <c r="J67" s="96"/>
      <c r="K67" s="97"/>
      <c r="N67" s="71"/>
      <c r="O67" s="64"/>
    </row>
    <row r="68" spans="1:15" s="68" customFormat="1" ht="18" customHeight="1">
      <c r="A68" s="172"/>
      <c r="D68" s="86" t="s">
        <v>300</v>
      </c>
      <c r="E68" s="87"/>
      <c r="F68" s="87"/>
      <c r="G68" s="88">
        <v>1</v>
      </c>
      <c r="H68" s="89"/>
      <c r="I68" s="90" t="str">
        <f>IFERROR(AVERAGEIF(H69:H72, "&lt;&gt;0"), "")</f>
        <v/>
      </c>
      <c r="J68" s="90"/>
      <c r="K68" s="91"/>
      <c r="N68" s="71"/>
      <c r="O68" s="64"/>
    </row>
    <row r="69" spans="1:15" s="68" customFormat="1" ht="18" customHeight="1">
      <c r="A69" s="172"/>
      <c r="D69" s="92"/>
      <c r="E69" s="68" t="s">
        <v>301</v>
      </c>
      <c r="F69" s="93"/>
      <c r="G69" s="94"/>
      <c r="H69" s="95"/>
      <c r="I69" s="96"/>
      <c r="J69" s="96"/>
      <c r="K69" s="97"/>
      <c r="N69" s="71"/>
      <c r="O69" s="64"/>
    </row>
    <row r="70" spans="1:15" s="68" customFormat="1" ht="18" customHeight="1">
      <c r="A70" s="172"/>
      <c r="D70" s="92"/>
      <c r="E70" s="68" t="s">
        <v>302</v>
      </c>
      <c r="F70" s="93"/>
      <c r="G70" s="94"/>
      <c r="H70" s="95"/>
      <c r="I70" s="96"/>
      <c r="J70" s="96"/>
      <c r="K70" s="97"/>
      <c r="N70" s="71"/>
      <c r="O70" s="64"/>
    </row>
    <row r="71" spans="1:15" s="68" customFormat="1" ht="18" customHeight="1">
      <c r="A71" s="172"/>
      <c r="D71" s="92"/>
      <c r="E71" s="68" t="s">
        <v>303</v>
      </c>
      <c r="F71" s="93"/>
      <c r="G71" s="94"/>
      <c r="H71" s="95"/>
      <c r="I71" s="96"/>
      <c r="J71" s="96"/>
      <c r="K71" s="97"/>
      <c r="N71" s="71"/>
      <c r="O71" s="64"/>
    </row>
    <row r="72" spans="1:15" s="68" customFormat="1" ht="18" customHeight="1">
      <c r="A72" s="172"/>
      <c r="D72" s="92"/>
      <c r="E72" s="68" t="s">
        <v>304</v>
      </c>
      <c r="F72" s="93"/>
      <c r="G72" s="94"/>
      <c r="H72" s="95"/>
      <c r="I72" s="96"/>
      <c r="J72" s="96"/>
      <c r="K72" s="97"/>
      <c r="N72" s="71"/>
      <c r="O72" s="64"/>
    </row>
    <row r="73" spans="1:15" s="68" customFormat="1" ht="18" customHeight="1">
      <c r="A73" s="172"/>
      <c r="D73" s="86" t="s">
        <v>305</v>
      </c>
      <c r="E73" s="87"/>
      <c r="F73" s="87"/>
      <c r="G73" s="88">
        <v>1</v>
      </c>
      <c r="H73" s="89"/>
      <c r="I73" s="90" t="str">
        <f>IFERROR(AVERAGEIF(H74:H76, "&lt;&gt;0"), "")</f>
        <v/>
      </c>
      <c r="J73" s="90"/>
      <c r="K73" s="91"/>
      <c r="N73" s="71"/>
      <c r="O73" s="64"/>
    </row>
    <row r="74" spans="1:15" s="68" customFormat="1" ht="18" customHeight="1">
      <c r="A74" s="172"/>
      <c r="D74" s="92"/>
      <c r="E74" s="68" t="s">
        <v>306</v>
      </c>
      <c r="F74" s="93"/>
      <c r="G74" s="94"/>
      <c r="H74" s="95"/>
      <c r="I74" s="96"/>
      <c r="J74" s="96"/>
      <c r="K74" s="97"/>
      <c r="N74" s="71"/>
      <c r="O74" s="64"/>
    </row>
    <row r="75" spans="1:15" s="68" customFormat="1" ht="18" customHeight="1">
      <c r="A75" s="172"/>
      <c r="D75" s="92"/>
      <c r="E75" s="68" t="s">
        <v>307</v>
      </c>
      <c r="F75" s="93"/>
      <c r="G75" s="94"/>
      <c r="H75" s="95"/>
      <c r="I75" s="96"/>
      <c r="J75" s="96"/>
      <c r="K75" s="97"/>
      <c r="N75" s="71"/>
      <c r="O75" s="64"/>
    </row>
    <row r="76" spans="1:15" s="68" customFormat="1" ht="18" customHeight="1">
      <c r="A76" s="172"/>
      <c r="D76" s="92"/>
      <c r="E76" s="68" t="s">
        <v>308</v>
      </c>
      <c r="F76" s="93"/>
      <c r="G76" s="94"/>
      <c r="H76" s="95"/>
      <c r="I76" s="96"/>
      <c r="J76" s="96"/>
      <c r="K76" s="97"/>
      <c r="N76" s="71"/>
      <c r="O76" s="64"/>
    </row>
    <row r="77" spans="1:15" s="68" customFormat="1" ht="18" customHeight="1">
      <c r="A77" s="172"/>
      <c r="D77" s="86" t="s">
        <v>309</v>
      </c>
      <c r="E77" s="87"/>
      <c r="F77" s="87"/>
      <c r="G77" s="88">
        <v>1</v>
      </c>
      <c r="H77" s="89"/>
      <c r="I77" s="90" t="str">
        <f>IFERROR(AVERAGEIF(H78:H80, "&lt;&gt;0"), "")</f>
        <v/>
      </c>
      <c r="J77" s="90"/>
      <c r="K77" s="91"/>
      <c r="N77" s="71"/>
      <c r="O77" s="64"/>
    </row>
    <row r="78" spans="1:15" s="68" customFormat="1" ht="18" customHeight="1">
      <c r="A78" s="172"/>
      <c r="D78" s="92"/>
      <c r="E78" s="68" t="s">
        <v>310</v>
      </c>
      <c r="F78" s="93"/>
      <c r="G78" s="94"/>
      <c r="H78" s="95"/>
      <c r="I78" s="96"/>
      <c r="J78" s="96"/>
      <c r="K78" s="97"/>
      <c r="N78" s="71"/>
      <c r="O78" s="64"/>
    </row>
    <row r="79" spans="1:15" s="68" customFormat="1" ht="18" customHeight="1">
      <c r="A79" s="172"/>
      <c r="D79" s="92"/>
      <c r="E79" s="68" t="s">
        <v>311</v>
      </c>
      <c r="F79" s="93"/>
      <c r="G79" s="94"/>
      <c r="H79" s="95"/>
      <c r="I79" s="96"/>
      <c r="J79" s="96"/>
      <c r="K79" s="97"/>
      <c r="N79" s="71"/>
      <c r="O79" s="64"/>
    </row>
    <row r="80" spans="1:15" s="68" customFormat="1" ht="18" customHeight="1">
      <c r="A80" s="172"/>
      <c r="D80" s="92"/>
      <c r="E80" s="68" t="s">
        <v>312</v>
      </c>
      <c r="F80" s="93"/>
      <c r="G80" s="94"/>
      <c r="H80" s="95"/>
      <c r="I80" s="96"/>
      <c r="J80" s="96"/>
      <c r="K80" s="97"/>
      <c r="N80" s="71"/>
      <c r="O80" s="64"/>
    </row>
    <row r="81" spans="1:15" s="68" customFormat="1" ht="30" customHeight="1" thickBot="1">
      <c r="A81" s="172"/>
      <c r="C81" s="175" t="s">
        <v>313</v>
      </c>
      <c r="D81" s="175"/>
      <c r="E81" s="175"/>
      <c r="F81" s="176">
        <v>1</v>
      </c>
      <c r="G81" s="177"/>
      <c r="H81" s="178"/>
      <c r="I81" s="179"/>
      <c r="J81" s="233" t="str">
        <f>IFERROR(ROUND(IF(N81&lt;=3, (N81-1)/2, 1 + (N81-3)*0.25),2),"")</f>
        <v/>
      </c>
      <c r="K81" s="180"/>
      <c r="L81" s="84"/>
      <c r="M81" s="64"/>
      <c r="N81" s="71" t="str" cm="1">
        <f t="array" ref="N81">IFERROR(SUMPRODUCT(I82:I100,G82:G100)/SUMPRODUCT(--(I82:I100&lt;&gt;""),G82:G100),"")</f>
        <v/>
      </c>
      <c r="O81" s="64" t="e">
        <f>J81-N81</f>
        <v>#VALUE!</v>
      </c>
    </row>
    <row r="82" spans="1:15" s="68" customFormat="1" ht="18" customHeight="1">
      <c r="A82" s="172"/>
      <c r="D82" s="86" t="s">
        <v>314</v>
      </c>
      <c r="E82" s="87"/>
      <c r="F82" s="87"/>
      <c r="G82" s="88">
        <v>1</v>
      </c>
      <c r="H82" s="89"/>
      <c r="I82" s="90" t="str">
        <f>IFERROR(AVERAGEIF(H83:H88, "&lt;&gt;0"), "")</f>
        <v/>
      </c>
      <c r="J82" s="90"/>
      <c r="K82" s="91"/>
      <c r="N82" s="71"/>
      <c r="O82" s="64"/>
    </row>
    <row r="83" spans="1:15" s="68" customFormat="1" ht="18" customHeight="1">
      <c r="A83" s="172"/>
      <c r="D83" s="92"/>
      <c r="E83" s="68" t="s">
        <v>315</v>
      </c>
      <c r="F83" s="93"/>
      <c r="G83" s="94"/>
      <c r="H83" s="95"/>
      <c r="I83" s="96"/>
      <c r="J83" s="96"/>
      <c r="K83" s="97"/>
      <c r="N83" s="71"/>
      <c r="O83" s="64"/>
    </row>
    <row r="84" spans="1:15" s="68" customFormat="1" ht="18" customHeight="1">
      <c r="A84" s="172"/>
      <c r="D84" s="92"/>
      <c r="E84" s="68" t="s">
        <v>316</v>
      </c>
      <c r="F84" s="93"/>
      <c r="G84" s="94"/>
      <c r="H84" s="95"/>
      <c r="I84" s="96"/>
      <c r="J84" s="96"/>
      <c r="K84" s="97"/>
      <c r="N84" s="71"/>
      <c r="O84" s="64"/>
    </row>
    <row r="85" spans="1:15" s="68" customFormat="1" ht="18" customHeight="1">
      <c r="A85" s="172"/>
      <c r="D85" s="92"/>
      <c r="E85" s="68" t="s">
        <v>317</v>
      </c>
      <c r="F85" s="93"/>
      <c r="G85" s="94"/>
      <c r="H85" s="95"/>
      <c r="I85" s="96"/>
      <c r="J85" s="96"/>
      <c r="K85" s="97"/>
      <c r="N85" s="71"/>
      <c r="O85" s="64"/>
    </row>
    <row r="86" spans="1:15" s="68" customFormat="1" ht="18" customHeight="1">
      <c r="A86" s="172"/>
      <c r="D86" s="92"/>
      <c r="E86" s="68" t="s">
        <v>318</v>
      </c>
      <c r="F86" s="93"/>
      <c r="G86" s="94"/>
      <c r="H86" s="95"/>
      <c r="I86" s="96"/>
      <c r="J86" s="96"/>
      <c r="K86" s="97"/>
      <c r="N86" s="71"/>
      <c r="O86" s="64"/>
    </row>
    <row r="87" spans="1:15" s="68" customFormat="1" ht="18" customHeight="1">
      <c r="A87" s="172"/>
      <c r="D87" s="92"/>
      <c r="E87" s="68" t="s">
        <v>319</v>
      </c>
      <c r="F87" s="93"/>
      <c r="G87" s="94"/>
      <c r="H87" s="95"/>
      <c r="I87" s="96"/>
      <c r="J87" s="96"/>
      <c r="K87" s="97"/>
      <c r="N87" s="71"/>
      <c r="O87" s="64"/>
    </row>
    <row r="88" spans="1:15" s="68" customFormat="1" ht="18" customHeight="1">
      <c r="A88" s="172"/>
      <c r="D88" s="92"/>
      <c r="E88" s="68" t="s">
        <v>320</v>
      </c>
      <c r="F88" s="93"/>
      <c r="G88" s="94"/>
      <c r="H88" s="95"/>
      <c r="I88" s="96"/>
      <c r="J88" s="96"/>
      <c r="K88" s="97"/>
      <c r="N88" s="71"/>
      <c r="O88" s="64"/>
    </row>
    <row r="89" spans="1:15" s="68" customFormat="1" ht="18" customHeight="1">
      <c r="A89" s="172"/>
      <c r="D89" s="86" t="s">
        <v>321</v>
      </c>
      <c r="E89" s="87"/>
      <c r="F89" s="87"/>
      <c r="G89" s="88">
        <v>1</v>
      </c>
      <c r="H89" s="89"/>
      <c r="I89" s="90" t="str">
        <f>IFERROR(AVERAGEIF(H90:H94, "&lt;&gt;0"), "")</f>
        <v/>
      </c>
      <c r="J89" s="90"/>
      <c r="K89" s="91"/>
      <c r="N89" s="71"/>
      <c r="O89" s="64"/>
    </row>
    <row r="90" spans="1:15" s="68" customFormat="1" ht="18" customHeight="1">
      <c r="A90" s="172"/>
      <c r="D90" s="92"/>
      <c r="E90" s="68" t="s">
        <v>322</v>
      </c>
      <c r="F90" s="93"/>
      <c r="G90" s="94"/>
      <c r="H90" s="95"/>
      <c r="I90" s="96"/>
      <c r="J90" s="96"/>
      <c r="K90" s="97"/>
      <c r="N90" s="71"/>
      <c r="O90" s="64"/>
    </row>
    <row r="91" spans="1:15" s="68" customFormat="1" ht="18" customHeight="1">
      <c r="A91" s="172"/>
      <c r="D91" s="92"/>
      <c r="E91" s="68" t="s">
        <v>323</v>
      </c>
      <c r="F91" s="93"/>
      <c r="G91" s="94"/>
      <c r="H91" s="95"/>
      <c r="I91" s="96"/>
      <c r="J91" s="96"/>
      <c r="K91" s="97"/>
      <c r="N91" s="71"/>
      <c r="O91" s="64"/>
    </row>
    <row r="92" spans="1:15" s="68" customFormat="1" ht="18" customHeight="1">
      <c r="A92" s="172"/>
      <c r="D92" s="92"/>
      <c r="E92" s="68" t="s">
        <v>324</v>
      </c>
      <c r="F92" s="93"/>
      <c r="G92" s="94"/>
      <c r="H92" s="95"/>
      <c r="I92" s="96"/>
      <c r="J92" s="96"/>
      <c r="K92" s="97"/>
      <c r="N92" s="71"/>
      <c r="O92" s="64"/>
    </row>
    <row r="93" spans="1:15" s="68" customFormat="1" ht="18" customHeight="1">
      <c r="A93" s="172"/>
      <c r="D93" s="92"/>
      <c r="E93" s="68" t="s">
        <v>325</v>
      </c>
      <c r="F93" s="93"/>
      <c r="G93" s="94"/>
      <c r="H93" s="95"/>
      <c r="I93" s="96"/>
      <c r="J93" s="96"/>
      <c r="K93" s="97"/>
      <c r="N93" s="71"/>
      <c r="O93" s="64"/>
    </row>
    <row r="94" spans="1:15" s="68" customFormat="1" ht="18" customHeight="1">
      <c r="A94" s="172"/>
      <c r="D94" s="92"/>
      <c r="E94" s="68" t="s">
        <v>326</v>
      </c>
      <c r="F94" s="93"/>
      <c r="G94" s="94"/>
      <c r="H94" s="95"/>
      <c r="I94" s="96"/>
      <c r="J94" s="96"/>
      <c r="K94" s="97"/>
      <c r="N94" s="71"/>
      <c r="O94" s="64"/>
    </row>
    <row r="95" spans="1:15" s="68" customFormat="1" ht="18" customHeight="1">
      <c r="A95" s="172"/>
      <c r="D95" s="86" t="s">
        <v>327</v>
      </c>
      <c r="E95" s="87"/>
      <c r="F95" s="87"/>
      <c r="G95" s="88">
        <v>1</v>
      </c>
      <c r="H95" s="89"/>
      <c r="I95" s="90" t="str">
        <f>IFERROR(AVERAGEIF(H96:H100, "&lt;&gt;0"), "")</f>
        <v/>
      </c>
      <c r="J95" s="90"/>
      <c r="K95" s="91"/>
      <c r="N95" s="71"/>
      <c r="O95" s="64"/>
    </row>
    <row r="96" spans="1:15" s="68" customFormat="1" ht="18" customHeight="1">
      <c r="A96" s="172"/>
      <c r="D96" s="92"/>
      <c r="E96" s="68" t="s">
        <v>190</v>
      </c>
      <c r="F96" s="93"/>
      <c r="G96" s="94"/>
      <c r="H96" s="95"/>
      <c r="I96" s="96"/>
      <c r="J96" s="96"/>
      <c r="K96" s="97"/>
      <c r="N96" s="71"/>
      <c r="O96" s="64"/>
    </row>
    <row r="97" spans="1:15" s="68" customFormat="1" ht="18" customHeight="1">
      <c r="A97" s="172"/>
      <c r="D97" s="92"/>
      <c r="E97" s="68" t="s">
        <v>191</v>
      </c>
      <c r="F97" s="93"/>
      <c r="G97" s="94"/>
      <c r="H97" s="95"/>
      <c r="I97" s="96"/>
      <c r="J97" s="96"/>
      <c r="K97" s="97"/>
      <c r="N97" s="71"/>
      <c r="O97" s="64"/>
    </row>
    <row r="98" spans="1:15" s="68" customFormat="1" ht="18" customHeight="1">
      <c r="A98" s="172"/>
      <c r="D98" s="92"/>
      <c r="E98" s="68" t="s">
        <v>328</v>
      </c>
      <c r="F98" s="93"/>
      <c r="G98" s="94"/>
      <c r="H98" s="95"/>
      <c r="I98" s="96"/>
      <c r="J98" s="96"/>
      <c r="K98" s="97"/>
      <c r="N98" s="71"/>
      <c r="O98" s="64"/>
    </row>
    <row r="99" spans="1:15" s="68" customFormat="1" ht="18" customHeight="1">
      <c r="A99" s="172"/>
      <c r="D99" s="92"/>
      <c r="E99" s="68" t="s">
        <v>329</v>
      </c>
      <c r="F99" s="93"/>
      <c r="G99" s="94"/>
      <c r="H99" s="95"/>
      <c r="I99" s="96"/>
      <c r="J99" s="96"/>
      <c r="K99" s="97"/>
      <c r="N99" s="71"/>
      <c r="O99" s="64"/>
    </row>
    <row r="100" spans="1:15" s="68" customFormat="1" ht="18" customHeight="1">
      <c r="A100" s="172"/>
      <c r="D100" s="92"/>
      <c r="E100" s="68" t="s">
        <v>330</v>
      </c>
      <c r="F100" s="93"/>
      <c r="G100" s="94"/>
      <c r="H100" s="95"/>
      <c r="I100" s="96"/>
      <c r="J100" s="96"/>
      <c r="K100" s="97"/>
      <c r="N100" s="71"/>
      <c r="O100" s="64"/>
    </row>
    <row r="101" spans="1:15" ht="30" customHeight="1">
      <c r="C101" s="175" t="s">
        <v>331</v>
      </c>
      <c r="D101" s="175"/>
      <c r="E101" s="175"/>
      <c r="F101" s="176">
        <v>1</v>
      </c>
      <c r="G101" s="177"/>
      <c r="H101" s="178"/>
      <c r="I101" s="179"/>
      <c r="J101" s="233" t="str">
        <f>IFERROR(ROUND(IF(N101&lt;=3, (N101-1)/2, 1 + (N101-3)*0.25),2),"")</f>
        <v/>
      </c>
      <c r="K101" s="180"/>
      <c r="L101" s="84"/>
      <c r="M101" s="64"/>
      <c r="N101" s="71" t="str" cm="1">
        <f t="array" ref="N101">IFERROR(SUMPRODUCT(I102:I110,G102:G110)/SUMPRODUCT(--(I102:I110&lt;&gt;""),G102:G110),"")</f>
        <v/>
      </c>
      <c r="O101" s="64" t="e">
        <f>J101-N101</f>
        <v>#VALUE!</v>
      </c>
    </row>
    <row r="102" spans="1:15" ht="18" customHeight="1">
      <c r="C102" s="68"/>
      <c r="D102" s="86" t="s">
        <v>332</v>
      </c>
      <c r="E102" s="87"/>
      <c r="F102" s="87"/>
      <c r="G102" s="88">
        <v>1</v>
      </c>
      <c r="H102" s="89"/>
      <c r="I102" s="90" t="str">
        <f>IFERROR(AVERAGEIF(H103:H105, "&lt;&gt;0"), "")</f>
        <v/>
      </c>
      <c r="J102" s="90"/>
      <c r="K102" s="91"/>
      <c r="L102" s="68"/>
      <c r="M102" s="68"/>
      <c r="N102" s="71"/>
      <c r="O102" s="64"/>
    </row>
    <row r="103" spans="1:15" ht="18" customHeight="1">
      <c r="C103" s="68"/>
      <c r="D103" s="92"/>
      <c r="E103" s="68" t="s">
        <v>333</v>
      </c>
      <c r="F103" s="93"/>
      <c r="G103" s="94"/>
      <c r="H103" s="95"/>
      <c r="I103" s="96"/>
      <c r="J103" s="96"/>
      <c r="K103" s="182"/>
      <c r="L103" s="68"/>
      <c r="M103" s="68"/>
      <c r="N103" s="71"/>
      <c r="O103" s="64"/>
    </row>
    <row r="104" spans="1:15" ht="18" customHeight="1">
      <c r="C104" s="68"/>
      <c r="D104" s="92"/>
      <c r="E104" s="68" t="s">
        <v>334</v>
      </c>
      <c r="F104" s="93"/>
      <c r="G104" s="94"/>
      <c r="H104" s="95"/>
      <c r="I104" s="96"/>
      <c r="J104" s="96"/>
      <c r="K104" s="182"/>
      <c r="L104" s="68"/>
      <c r="M104" s="68"/>
      <c r="N104" s="71"/>
      <c r="O104" s="64"/>
    </row>
    <row r="105" spans="1:15" ht="18" customHeight="1">
      <c r="C105" s="68"/>
      <c r="D105" s="92"/>
      <c r="E105" s="68" t="s">
        <v>335</v>
      </c>
      <c r="F105" s="93"/>
      <c r="G105" s="94"/>
      <c r="H105" s="95"/>
      <c r="I105" s="96"/>
      <c r="J105" s="96"/>
      <c r="K105" s="182"/>
      <c r="L105" s="68"/>
      <c r="M105" s="68"/>
      <c r="N105" s="71"/>
      <c r="O105" s="64"/>
    </row>
    <row r="106" spans="1:15" ht="18" customHeight="1">
      <c r="C106" s="68"/>
      <c r="D106" s="86" t="s">
        <v>336</v>
      </c>
      <c r="E106" s="87"/>
      <c r="F106" s="87"/>
      <c r="G106" s="88">
        <v>2</v>
      </c>
      <c r="H106" s="89"/>
      <c r="I106" s="90" t="str">
        <f>IFERROR(AVERAGEIF(H107:H110, "&lt;&gt;0"), "")</f>
        <v/>
      </c>
      <c r="J106" s="90"/>
      <c r="K106" s="91"/>
      <c r="L106" s="68"/>
      <c r="M106" s="68"/>
      <c r="N106" s="71"/>
      <c r="O106" s="64"/>
    </row>
    <row r="107" spans="1:15" ht="18" customHeight="1">
      <c r="C107" s="68"/>
      <c r="D107" s="92"/>
      <c r="E107" s="68" t="s">
        <v>337</v>
      </c>
      <c r="F107" s="93"/>
      <c r="G107" s="94"/>
      <c r="H107" s="95"/>
      <c r="I107" s="96"/>
      <c r="J107" s="96"/>
      <c r="K107" s="97"/>
      <c r="L107" s="68"/>
      <c r="M107" s="68"/>
      <c r="N107" s="71"/>
      <c r="O107" s="64"/>
    </row>
    <row r="108" spans="1:15" ht="18" customHeight="1">
      <c r="C108" s="68"/>
      <c r="D108" s="92"/>
      <c r="E108" s="68" t="s">
        <v>338</v>
      </c>
      <c r="F108" s="93"/>
      <c r="G108" s="94"/>
      <c r="H108" s="95"/>
      <c r="I108" s="96"/>
      <c r="J108" s="96"/>
      <c r="K108" s="97"/>
      <c r="L108" s="68"/>
      <c r="M108" s="68"/>
      <c r="N108" s="71"/>
      <c r="O108" s="64"/>
    </row>
    <row r="109" spans="1:15" ht="18" customHeight="1">
      <c r="C109" s="68"/>
      <c r="D109" s="92"/>
      <c r="E109" s="68" t="s">
        <v>339</v>
      </c>
      <c r="F109" s="93"/>
      <c r="G109" s="94"/>
      <c r="H109" s="95"/>
      <c r="I109" s="96"/>
      <c r="J109" s="96"/>
      <c r="K109" s="97"/>
      <c r="L109" s="68"/>
      <c r="M109" s="68"/>
      <c r="N109" s="71"/>
      <c r="O109" s="64"/>
    </row>
    <row r="110" spans="1:15" ht="18" customHeight="1">
      <c r="C110" s="68"/>
      <c r="D110" s="92"/>
      <c r="E110" s="68" t="s">
        <v>340</v>
      </c>
      <c r="F110" s="93"/>
      <c r="G110" s="94"/>
      <c r="H110" s="95"/>
      <c r="I110" s="96"/>
      <c r="J110" s="96"/>
      <c r="K110" s="97"/>
      <c r="L110" s="68"/>
      <c r="M110" s="68"/>
      <c r="N110" s="71"/>
      <c r="O110" s="64"/>
    </row>
    <row r="111" spans="1:15" ht="14.25" customHeight="1">
      <c r="H111" s="100"/>
      <c r="I111" s="101"/>
      <c r="J111" s="100"/>
    </row>
    <row r="112" spans="1:15" ht="14.25" customHeight="1">
      <c r="H112" s="100"/>
      <c r="I112" s="101"/>
      <c r="J112" s="100"/>
    </row>
    <row r="113" spans="8:10" ht="14.25" customHeight="1">
      <c r="H113" s="100"/>
      <c r="I113" s="101"/>
      <c r="J113" s="100"/>
    </row>
    <row r="114" spans="8:10" ht="14.25" customHeight="1">
      <c r="H114" s="100"/>
      <c r="I114" s="101"/>
      <c r="J114" s="100"/>
    </row>
    <row r="115" spans="8:10" ht="14.25" customHeight="1">
      <c r="H115" s="100"/>
      <c r="I115" s="101"/>
      <c r="J115" s="100"/>
    </row>
    <row r="116" spans="8:10" ht="14.25" customHeight="1">
      <c r="H116" s="100"/>
      <c r="I116" s="101"/>
      <c r="J116" s="100"/>
    </row>
    <row r="117" spans="8:10" ht="14.25" customHeight="1">
      <c r="H117" s="100"/>
      <c r="I117" s="101"/>
      <c r="J117" s="100"/>
    </row>
    <row r="118" spans="8:10" ht="14.25" customHeight="1">
      <c r="H118" s="100"/>
      <c r="I118" s="101"/>
      <c r="J118" s="100"/>
    </row>
    <row r="119" spans="8:10" ht="14.25" customHeight="1">
      <c r="H119" s="100"/>
      <c r="I119" s="101"/>
      <c r="J119" s="100"/>
    </row>
    <row r="120" spans="8:10" ht="14.25" customHeight="1">
      <c r="H120" s="100"/>
      <c r="I120" s="101"/>
      <c r="J120" s="100"/>
    </row>
    <row r="121" spans="8:10" ht="14.25" customHeight="1">
      <c r="H121" s="100"/>
      <c r="I121" s="101"/>
      <c r="J121" s="100"/>
    </row>
    <row r="122" spans="8:10" ht="14.25" customHeight="1">
      <c r="H122" s="100"/>
      <c r="I122" s="101"/>
      <c r="J122" s="100"/>
    </row>
    <row r="123" spans="8:10" ht="14.25" customHeight="1">
      <c r="H123" s="100"/>
      <c r="I123" s="101"/>
      <c r="J123" s="100"/>
    </row>
    <row r="124" spans="8:10" ht="14.25" customHeight="1">
      <c r="H124" s="100"/>
      <c r="I124" s="101"/>
      <c r="J124" s="100"/>
    </row>
    <row r="125" spans="8:10" ht="14.25" customHeight="1">
      <c r="H125" s="100"/>
      <c r="I125" s="101"/>
      <c r="J125" s="100"/>
    </row>
    <row r="126" spans="8:10" ht="14.25" customHeight="1">
      <c r="H126" s="100"/>
      <c r="I126" s="101"/>
      <c r="J126" s="100"/>
    </row>
    <row r="127" spans="8:10" ht="14.25" customHeight="1">
      <c r="H127" s="100"/>
      <c r="I127" s="101"/>
      <c r="J127" s="100"/>
    </row>
    <row r="128" spans="8:10" ht="14.25" customHeight="1">
      <c r="H128" s="100"/>
      <c r="I128" s="101"/>
      <c r="J128" s="100"/>
    </row>
    <row r="129" spans="8:10" ht="14.25" customHeight="1">
      <c r="H129" s="100"/>
      <c r="I129" s="101"/>
      <c r="J129" s="100"/>
    </row>
    <row r="130" spans="8:10" ht="14.25" customHeight="1">
      <c r="H130" s="100"/>
      <c r="I130" s="101"/>
      <c r="J130" s="100"/>
    </row>
    <row r="131" spans="8:10" ht="14.25" customHeight="1">
      <c r="H131" s="100"/>
      <c r="I131" s="101"/>
      <c r="J131" s="100"/>
    </row>
    <row r="132" spans="8:10" ht="14.25" customHeight="1">
      <c r="H132" s="100"/>
      <c r="I132" s="101"/>
      <c r="J132" s="100"/>
    </row>
    <row r="133" spans="8:10" ht="14.25" customHeight="1">
      <c r="H133" s="100"/>
      <c r="I133" s="101"/>
      <c r="J133" s="100"/>
    </row>
    <row r="134" spans="8:10" ht="14.25" customHeight="1">
      <c r="H134" s="100"/>
      <c r="I134" s="101"/>
      <c r="J134" s="100"/>
    </row>
    <row r="135" spans="8:10" ht="14.25" customHeight="1">
      <c r="H135" s="100"/>
      <c r="I135" s="101"/>
      <c r="J135" s="100"/>
    </row>
    <row r="136" spans="8:10" ht="14.25" customHeight="1">
      <c r="H136" s="100"/>
      <c r="I136" s="101"/>
      <c r="J136" s="100"/>
    </row>
    <row r="137" spans="8:10" ht="14.25" customHeight="1">
      <c r="H137" s="100"/>
      <c r="I137" s="101"/>
      <c r="J137" s="100"/>
    </row>
    <row r="138" spans="8:10" ht="14.25" customHeight="1">
      <c r="H138" s="100"/>
      <c r="I138" s="101"/>
      <c r="J138" s="100"/>
    </row>
    <row r="139" spans="8:10" ht="14.25" customHeight="1">
      <c r="H139" s="100"/>
      <c r="I139" s="101"/>
      <c r="J139" s="100"/>
    </row>
    <row r="140" spans="8:10" ht="14.25" customHeight="1">
      <c r="H140" s="100"/>
      <c r="I140" s="101"/>
      <c r="J140" s="100"/>
    </row>
    <row r="141" spans="8:10" ht="14.25" customHeight="1">
      <c r="H141" s="100"/>
      <c r="I141" s="101"/>
      <c r="J141" s="100"/>
    </row>
    <row r="142" spans="8:10" ht="14.25" customHeight="1">
      <c r="H142" s="100"/>
      <c r="I142" s="101"/>
      <c r="J142" s="100"/>
    </row>
    <row r="143" spans="8:10" ht="14.25" customHeight="1">
      <c r="H143" s="100"/>
      <c r="I143" s="101"/>
      <c r="J143" s="100"/>
    </row>
    <row r="144" spans="8:10" ht="14.25" customHeight="1">
      <c r="H144" s="100"/>
      <c r="I144" s="101"/>
      <c r="J144" s="100"/>
    </row>
    <row r="145" spans="8:10" ht="14.25" customHeight="1">
      <c r="H145" s="100"/>
      <c r="I145" s="101"/>
      <c r="J145" s="100"/>
    </row>
    <row r="146" spans="8:10" ht="14.25" customHeight="1">
      <c r="H146" s="100"/>
      <c r="I146" s="101"/>
      <c r="J146" s="100"/>
    </row>
    <row r="147" spans="8:10" ht="14.25" customHeight="1">
      <c r="H147" s="100"/>
      <c r="I147" s="100"/>
      <c r="J147" s="100"/>
    </row>
    <row r="148" spans="8:10" ht="14.25" customHeight="1">
      <c r="H148" s="100"/>
      <c r="I148" s="100"/>
      <c r="J148" s="100"/>
    </row>
    <row r="149" spans="8:10" ht="14.25" customHeight="1">
      <c r="H149" s="100"/>
      <c r="I149" s="100"/>
      <c r="J149" s="100"/>
    </row>
    <row r="150" spans="8:10" ht="14.25" customHeight="1">
      <c r="H150" s="100"/>
      <c r="I150" s="100"/>
      <c r="J150" s="100"/>
    </row>
    <row r="151" spans="8:10" ht="14.25" customHeight="1">
      <c r="H151" s="100"/>
      <c r="I151" s="100"/>
      <c r="J151" s="100"/>
    </row>
    <row r="152" spans="8:10" ht="14.25" customHeight="1">
      <c r="H152" s="100"/>
      <c r="I152" s="100"/>
      <c r="J152" s="100"/>
    </row>
    <row r="153" spans="8:10" ht="14.25" customHeight="1">
      <c r="H153" s="100"/>
      <c r="I153" s="100"/>
      <c r="J153" s="100"/>
    </row>
    <row r="154" spans="8:10" ht="14.25" customHeight="1">
      <c r="H154" s="100"/>
      <c r="I154" s="100"/>
      <c r="J154" s="100"/>
    </row>
    <row r="155" spans="8:10" ht="14.25" customHeight="1">
      <c r="H155" s="100"/>
      <c r="I155" s="100"/>
      <c r="J155" s="100"/>
    </row>
    <row r="156" spans="8:10" ht="14.25" customHeight="1">
      <c r="H156" s="100"/>
      <c r="I156" s="100"/>
      <c r="J156" s="100"/>
    </row>
    <row r="157" spans="8:10" ht="14.25" customHeight="1">
      <c r="H157" s="100"/>
      <c r="I157" s="100"/>
      <c r="J157" s="100"/>
    </row>
    <row r="158" spans="8:10" ht="14.25" customHeight="1">
      <c r="H158" s="100"/>
      <c r="I158" s="100"/>
      <c r="J158" s="100"/>
    </row>
    <row r="159" spans="8:10" ht="14.25" customHeight="1">
      <c r="H159" s="100"/>
      <c r="I159" s="100"/>
      <c r="J159" s="100"/>
    </row>
    <row r="160" spans="8:10" ht="14.25" customHeight="1">
      <c r="H160" s="100"/>
      <c r="I160" s="100"/>
      <c r="J160" s="100"/>
    </row>
    <row r="161" spans="8:10" ht="14.25" customHeight="1">
      <c r="H161" s="100"/>
      <c r="I161" s="100"/>
      <c r="J161" s="100"/>
    </row>
    <row r="162" spans="8:10" ht="14.25" customHeight="1">
      <c r="H162" s="100"/>
      <c r="I162" s="100"/>
      <c r="J162" s="100"/>
    </row>
    <row r="163" spans="8:10" ht="14.25" customHeight="1">
      <c r="H163" s="100"/>
      <c r="I163" s="100"/>
      <c r="J163" s="100"/>
    </row>
    <row r="164" spans="8:10" ht="14.25" customHeight="1">
      <c r="H164" s="100"/>
      <c r="I164" s="100"/>
      <c r="J164" s="100"/>
    </row>
    <row r="165" spans="8:10" ht="14.25" customHeight="1">
      <c r="H165" s="100"/>
      <c r="I165" s="100"/>
      <c r="J165" s="100"/>
    </row>
    <row r="166" spans="8:10" ht="14.25" customHeight="1">
      <c r="H166" s="100"/>
      <c r="I166" s="100"/>
      <c r="J166" s="100"/>
    </row>
    <row r="167" spans="8:10" ht="14.25" customHeight="1">
      <c r="H167" s="100"/>
      <c r="I167" s="100"/>
      <c r="J167" s="100"/>
    </row>
    <row r="168" spans="8:10" ht="14.25" customHeight="1">
      <c r="H168" s="100"/>
      <c r="I168" s="100"/>
      <c r="J168" s="100"/>
    </row>
    <row r="169" spans="8:10" ht="14.25" customHeight="1">
      <c r="H169" s="100"/>
      <c r="I169" s="100"/>
      <c r="J169" s="100"/>
    </row>
    <row r="170" spans="8:10" ht="14.25" customHeight="1">
      <c r="H170" s="100"/>
      <c r="I170" s="100"/>
      <c r="J170" s="100"/>
    </row>
    <row r="171" spans="8:10" ht="14.25" customHeight="1">
      <c r="H171" s="100"/>
      <c r="I171" s="100"/>
      <c r="J171" s="100"/>
    </row>
    <row r="172" spans="8:10" ht="14.25" customHeight="1">
      <c r="H172" s="100"/>
      <c r="I172" s="100"/>
      <c r="J172" s="100"/>
    </row>
    <row r="173" spans="8:10" ht="14.25" customHeight="1">
      <c r="H173" s="100"/>
      <c r="I173" s="100"/>
      <c r="J173" s="100"/>
    </row>
    <row r="174" spans="8:10" ht="14.25" customHeight="1">
      <c r="H174" s="100"/>
      <c r="I174" s="100"/>
      <c r="J174" s="100"/>
    </row>
    <row r="175" spans="8:10" ht="14.25" customHeight="1">
      <c r="H175" s="100"/>
      <c r="I175" s="100"/>
      <c r="J175" s="100"/>
    </row>
    <row r="176" spans="8:10" ht="14.25" customHeight="1">
      <c r="H176" s="100"/>
      <c r="I176" s="100"/>
      <c r="J176" s="100"/>
    </row>
    <row r="177" spans="8:10" ht="14.25" customHeight="1">
      <c r="H177" s="100"/>
      <c r="I177" s="100"/>
      <c r="J177" s="100"/>
    </row>
    <row r="178" spans="8:10" ht="14.25" customHeight="1">
      <c r="H178" s="100"/>
      <c r="I178" s="100"/>
      <c r="J178" s="100"/>
    </row>
    <row r="179" spans="8:10" ht="14.25" customHeight="1">
      <c r="H179" s="100"/>
      <c r="I179" s="100"/>
      <c r="J179" s="100"/>
    </row>
    <row r="180" spans="8:10" ht="14.25" customHeight="1">
      <c r="H180" s="100"/>
      <c r="I180" s="100"/>
      <c r="J180" s="100"/>
    </row>
    <row r="181" spans="8:10" ht="14.25" customHeight="1">
      <c r="H181" s="100"/>
      <c r="I181" s="100"/>
      <c r="J181" s="100"/>
    </row>
    <row r="182" spans="8:10" ht="14.25" customHeight="1">
      <c r="H182" s="100"/>
      <c r="I182" s="100"/>
      <c r="J182" s="100"/>
    </row>
    <row r="183" spans="8:10" ht="14.25" customHeight="1">
      <c r="H183" s="100"/>
      <c r="I183" s="100"/>
      <c r="J183" s="100"/>
    </row>
    <row r="184" spans="8:10" ht="14.25" customHeight="1">
      <c r="H184" s="100"/>
      <c r="I184" s="100"/>
      <c r="J184" s="100"/>
    </row>
    <row r="185" spans="8:10" ht="14.25" customHeight="1">
      <c r="H185" s="100"/>
      <c r="I185" s="100"/>
      <c r="J185" s="100"/>
    </row>
    <row r="186" spans="8:10" ht="14.25" customHeight="1">
      <c r="H186" s="100"/>
      <c r="I186" s="100"/>
      <c r="J186" s="100"/>
    </row>
    <row r="187" spans="8:10" ht="14.25" customHeight="1">
      <c r="H187" s="100"/>
      <c r="I187" s="100"/>
      <c r="J187" s="100"/>
    </row>
    <row r="188" spans="8:10" ht="14.25" customHeight="1">
      <c r="H188" s="100"/>
      <c r="I188" s="100"/>
      <c r="J188" s="100"/>
    </row>
    <row r="189" spans="8:10" ht="14.25" customHeight="1">
      <c r="H189" s="100"/>
      <c r="I189" s="100"/>
      <c r="J189" s="100"/>
    </row>
    <row r="190" spans="8:10" ht="14.25" customHeight="1">
      <c r="H190" s="100"/>
      <c r="I190" s="100"/>
      <c r="J190" s="100"/>
    </row>
    <row r="191" spans="8:10" ht="14.25" customHeight="1">
      <c r="H191" s="100"/>
      <c r="I191" s="100"/>
      <c r="J191" s="100"/>
    </row>
    <row r="192" spans="8:10" ht="14.25" customHeight="1">
      <c r="H192" s="100"/>
      <c r="I192" s="100"/>
      <c r="J192" s="100"/>
    </row>
    <row r="193" spans="8:10" ht="14.25" customHeight="1">
      <c r="H193" s="100"/>
      <c r="I193" s="100"/>
      <c r="J193" s="100"/>
    </row>
    <row r="194" spans="8:10" ht="14.25" customHeight="1">
      <c r="H194" s="100"/>
      <c r="I194" s="100"/>
      <c r="J194" s="100"/>
    </row>
    <row r="195" spans="8:10" ht="14.25" customHeight="1">
      <c r="H195" s="100"/>
      <c r="I195" s="100"/>
      <c r="J195" s="100"/>
    </row>
    <row r="196" spans="8:10" ht="14.25" customHeight="1">
      <c r="H196" s="100"/>
      <c r="I196" s="100"/>
      <c r="J196" s="100"/>
    </row>
    <row r="197" spans="8:10" ht="14.25" customHeight="1">
      <c r="H197" s="100"/>
      <c r="I197" s="100"/>
      <c r="J197" s="100"/>
    </row>
    <row r="198" spans="8:10" ht="14.25" customHeight="1">
      <c r="H198" s="100"/>
      <c r="I198" s="100"/>
      <c r="J198" s="100"/>
    </row>
    <row r="199" spans="8:10" ht="14.25" customHeight="1">
      <c r="H199" s="100"/>
      <c r="I199" s="100"/>
      <c r="J199" s="100"/>
    </row>
    <row r="200" spans="8:10" ht="14.25" customHeight="1">
      <c r="H200" s="100"/>
      <c r="I200" s="100"/>
      <c r="J200" s="100"/>
    </row>
    <row r="201" spans="8:10" ht="14.25" customHeight="1">
      <c r="H201" s="100"/>
      <c r="I201" s="100"/>
      <c r="J201" s="100"/>
    </row>
    <row r="202" spans="8:10" ht="14.25" customHeight="1">
      <c r="H202" s="100"/>
      <c r="I202" s="100"/>
      <c r="J202" s="100"/>
    </row>
    <row r="203" spans="8:10" ht="14.25" customHeight="1">
      <c r="H203" s="100"/>
      <c r="I203" s="100"/>
      <c r="J203" s="100"/>
    </row>
    <row r="204" spans="8:10" ht="14.25" customHeight="1">
      <c r="H204" s="100"/>
      <c r="I204" s="100"/>
      <c r="J204" s="100"/>
    </row>
    <row r="205" spans="8:10" ht="14.25" customHeight="1">
      <c r="H205" s="100"/>
      <c r="I205" s="100"/>
      <c r="J205" s="100"/>
    </row>
    <row r="206" spans="8:10" ht="14.25" customHeight="1">
      <c r="H206" s="100"/>
      <c r="I206" s="100"/>
      <c r="J206" s="100"/>
    </row>
    <row r="207" spans="8:10" ht="14.25" customHeight="1">
      <c r="H207" s="100"/>
      <c r="I207" s="100"/>
      <c r="J207" s="100"/>
    </row>
    <row r="208" spans="8:10" ht="14.25" customHeight="1">
      <c r="H208" s="100"/>
      <c r="I208" s="100"/>
      <c r="J208" s="100"/>
    </row>
    <row r="209" spans="8:10" ht="14.25" customHeight="1">
      <c r="H209" s="100"/>
      <c r="I209" s="100"/>
      <c r="J209" s="100"/>
    </row>
    <row r="210" spans="8:10" ht="14.25" customHeight="1">
      <c r="H210" s="100"/>
      <c r="I210" s="100"/>
      <c r="J210" s="100"/>
    </row>
    <row r="211" spans="8:10" ht="14.25" customHeight="1">
      <c r="H211" s="100"/>
      <c r="I211" s="100"/>
      <c r="J211" s="100"/>
    </row>
    <row r="212" spans="8:10" ht="14.25" customHeight="1">
      <c r="H212" s="100"/>
      <c r="I212" s="100"/>
      <c r="J212" s="100"/>
    </row>
    <row r="213" spans="8:10" ht="14.25" customHeight="1">
      <c r="H213" s="100"/>
      <c r="I213" s="100"/>
      <c r="J213" s="100"/>
    </row>
    <row r="214" spans="8:10" ht="14.25" customHeight="1">
      <c r="H214" s="100"/>
      <c r="I214" s="100"/>
      <c r="J214" s="100"/>
    </row>
    <row r="215" spans="8:10" ht="14.25" customHeight="1">
      <c r="H215" s="100"/>
      <c r="I215" s="100"/>
      <c r="J215" s="100"/>
    </row>
    <row r="216" spans="8:10" ht="14.25" customHeight="1">
      <c r="H216" s="100"/>
      <c r="I216" s="100"/>
      <c r="J216" s="100"/>
    </row>
    <row r="217" spans="8:10" ht="14.25" customHeight="1">
      <c r="H217" s="100"/>
      <c r="I217" s="100"/>
      <c r="J217" s="100"/>
    </row>
    <row r="218" spans="8:10" ht="14.25" customHeight="1">
      <c r="H218" s="100"/>
      <c r="I218" s="100"/>
      <c r="J218" s="100"/>
    </row>
    <row r="219" spans="8:10" ht="14.25" customHeight="1">
      <c r="H219" s="100"/>
      <c r="I219" s="100"/>
      <c r="J219" s="100"/>
    </row>
    <row r="220" spans="8:10" ht="14.25" customHeight="1">
      <c r="H220" s="100"/>
      <c r="I220" s="100"/>
      <c r="J220" s="100"/>
    </row>
    <row r="221" spans="8:10" ht="14.25" customHeight="1">
      <c r="H221" s="100"/>
      <c r="I221" s="100"/>
      <c r="J221" s="100"/>
    </row>
    <row r="222" spans="8:10" ht="14.25" customHeight="1">
      <c r="H222" s="100"/>
      <c r="I222" s="100"/>
      <c r="J222" s="100"/>
    </row>
    <row r="223" spans="8:10" ht="14.25" customHeight="1">
      <c r="H223" s="100"/>
      <c r="I223" s="100"/>
      <c r="J223" s="100"/>
    </row>
    <row r="224" spans="8:10" ht="14.25" customHeight="1">
      <c r="H224" s="100"/>
      <c r="I224" s="100"/>
      <c r="J224" s="100"/>
    </row>
    <row r="225" spans="8:10" ht="14.25" customHeight="1">
      <c r="H225" s="100"/>
      <c r="I225" s="100"/>
      <c r="J225" s="100"/>
    </row>
    <row r="226" spans="8:10" ht="14.25" customHeight="1">
      <c r="H226" s="100"/>
      <c r="I226" s="100"/>
      <c r="J226" s="100"/>
    </row>
    <row r="227" spans="8:10" ht="14.25" customHeight="1">
      <c r="H227" s="100"/>
      <c r="I227" s="100"/>
      <c r="J227" s="100"/>
    </row>
    <row r="228" spans="8:10" ht="14.25" customHeight="1">
      <c r="H228" s="100"/>
      <c r="I228" s="100"/>
      <c r="J228" s="100"/>
    </row>
    <row r="229" spans="8:10" ht="14.25" customHeight="1">
      <c r="H229" s="100"/>
      <c r="I229" s="100"/>
      <c r="J229" s="100"/>
    </row>
    <row r="230" spans="8:10" ht="14.25" customHeight="1">
      <c r="H230" s="100"/>
      <c r="I230" s="100"/>
      <c r="J230" s="100"/>
    </row>
    <row r="231" spans="8:10" ht="14.25" customHeight="1">
      <c r="H231" s="100"/>
      <c r="I231" s="100"/>
      <c r="J231" s="100"/>
    </row>
    <row r="232" spans="8:10" ht="14.25" customHeight="1">
      <c r="H232" s="100"/>
      <c r="I232" s="100"/>
      <c r="J232" s="100"/>
    </row>
    <row r="233" spans="8:10" ht="14.25" customHeight="1">
      <c r="H233" s="100"/>
      <c r="I233" s="100"/>
      <c r="J233" s="100"/>
    </row>
    <row r="234" spans="8:10" ht="14.25" customHeight="1">
      <c r="H234" s="100"/>
      <c r="I234" s="100"/>
      <c r="J234" s="100"/>
    </row>
    <row r="235" spans="8:10" ht="14.25" customHeight="1">
      <c r="H235" s="100"/>
      <c r="I235" s="100"/>
      <c r="J235" s="100"/>
    </row>
    <row r="236" spans="8:10" ht="14.25" customHeight="1">
      <c r="H236" s="100"/>
      <c r="I236" s="100"/>
      <c r="J236" s="100"/>
    </row>
    <row r="237" spans="8:10" ht="14.25" customHeight="1">
      <c r="H237" s="100"/>
      <c r="I237" s="100"/>
      <c r="J237" s="100"/>
    </row>
    <row r="238" spans="8:10" ht="14.25" customHeight="1">
      <c r="H238" s="100"/>
      <c r="I238" s="100"/>
      <c r="J238" s="100"/>
    </row>
    <row r="239" spans="8:10" ht="14.25" customHeight="1">
      <c r="H239" s="100"/>
      <c r="I239" s="100"/>
      <c r="J239" s="100"/>
    </row>
    <row r="240" spans="8:10" ht="14.25" customHeight="1">
      <c r="H240" s="100"/>
      <c r="I240" s="100"/>
      <c r="J240" s="100"/>
    </row>
    <row r="241" spans="8:10" ht="14.25" customHeight="1">
      <c r="H241" s="100"/>
      <c r="I241" s="100"/>
      <c r="J241" s="100"/>
    </row>
    <row r="242" spans="8:10" ht="14.25" customHeight="1">
      <c r="H242" s="100"/>
      <c r="I242" s="100"/>
      <c r="J242" s="100"/>
    </row>
    <row r="243" spans="8:10" ht="14.25" customHeight="1">
      <c r="H243" s="100"/>
      <c r="I243" s="100"/>
      <c r="J243" s="100"/>
    </row>
    <row r="244" spans="8:10" ht="14.25" customHeight="1">
      <c r="H244" s="100"/>
      <c r="I244" s="100"/>
      <c r="J244" s="100"/>
    </row>
    <row r="245" spans="8:10" ht="14.25" customHeight="1">
      <c r="H245" s="100"/>
      <c r="I245" s="100"/>
      <c r="J245" s="100"/>
    </row>
    <row r="246" spans="8:10" ht="14.25" customHeight="1">
      <c r="H246" s="100"/>
      <c r="I246" s="100"/>
      <c r="J246" s="100"/>
    </row>
    <row r="247" spans="8:10" ht="14.25" customHeight="1">
      <c r="H247" s="100"/>
      <c r="I247" s="100"/>
      <c r="J247" s="100"/>
    </row>
    <row r="248" spans="8:10" ht="14.25" customHeight="1">
      <c r="H248" s="100"/>
      <c r="I248" s="100"/>
      <c r="J248" s="100"/>
    </row>
    <row r="249" spans="8:10" ht="14.25" customHeight="1">
      <c r="H249" s="100"/>
      <c r="I249" s="100"/>
      <c r="J249" s="100"/>
    </row>
    <row r="250" spans="8:10" ht="14.25" customHeight="1">
      <c r="H250" s="100"/>
      <c r="I250" s="100"/>
      <c r="J250" s="100"/>
    </row>
    <row r="251" spans="8:10" ht="14.25" customHeight="1">
      <c r="H251" s="100"/>
      <c r="I251" s="100"/>
      <c r="J251" s="100"/>
    </row>
    <row r="252" spans="8:10" ht="14.25" customHeight="1">
      <c r="H252" s="100"/>
      <c r="I252" s="100"/>
      <c r="J252" s="100"/>
    </row>
    <row r="253" spans="8:10" ht="14.25" customHeight="1">
      <c r="H253" s="100"/>
      <c r="I253" s="100"/>
      <c r="J253" s="100"/>
    </row>
    <row r="254" spans="8:10" ht="14.25" customHeight="1">
      <c r="H254" s="100"/>
      <c r="I254" s="100"/>
      <c r="J254" s="100"/>
    </row>
    <row r="255" spans="8:10" ht="14.25" customHeight="1">
      <c r="H255" s="100"/>
      <c r="I255" s="100"/>
      <c r="J255" s="100"/>
    </row>
    <row r="256" spans="8:10" ht="14.25" customHeight="1">
      <c r="H256" s="100"/>
      <c r="I256" s="100"/>
      <c r="J256" s="100"/>
    </row>
    <row r="257" spans="8:10" ht="14.25" customHeight="1">
      <c r="H257" s="100"/>
      <c r="I257" s="100"/>
      <c r="J257" s="100"/>
    </row>
    <row r="258" spans="8:10" ht="14.25" customHeight="1">
      <c r="H258" s="100"/>
      <c r="I258" s="100"/>
      <c r="J258" s="100"/>
    </row>
    <row r="259" spans="8:10" ht="14.25" customHeight="1">
      <c r="H259" s="100"/>
      <c r="I259" s="100"/>
      <c r="J259" s="100"/>
    </row>
    <row r="260" spans="8:10" ht="14.25" customHeight="1">
      <c r="H260" s="100"/>
      <c r="I260" s="100"/>
      <c r="J260" s="100"/>
    </row>
    <row r="261" spans="8:10" ht="14.25" customHeight="1">
      <c r="H261" s="100"/>
      <c r="I261" s="100"/>
      <c r="J261" s="100"/>
    </row>
    <row r="262" spans="8:10" ht="14.25" customHeight="1">
      <c r="H262" s="100"/>
      <c r="I262" s="100"/>
      <c r="J262" s="100"/>
    </row>
    <row r="263" spans="8:10" ht="14.25" customHeight="1">
      <c r="H263" s="100"/>
      <c r="I263" s="100"/>
      <c r="J263" s="100"/>
    </row>
    <row r="264" spans="8:10" ht="14.25" customHeight="1">
      <c r="H264" s="100"/>
      <c r="I264" s="100"/>
      <c r="J264" s="100"/>
    </row>
    <row r="265" spans="8:10" ht="14.25" customHeight="1">
      <c r="H265" s="100"/>
      <c r="I265" s="100"/>
      <c r="J265" s="100"/>
    </row>
    <row r="266" spans="8:10" ht="14.25" customHeight="1">
      <c r="H266" s="100"/>
      <c r="I266" s="100"/>
      <c r="J266" s="100"/>
    </row>
    <row r="267" spans="8:10" ht="14.25" customHeight="1">
      <c r="H267" s="100"/>
      <c r="I267" s="100"/>
      <c r="J267" s="100"/>
    </row>
    <row r="268" spans="8:10" ht="14.25" customHeight="1">
      <c r="H268" s="100"/>
      <c r="I268" s="100"/>
      <c r="J268" s="100"/>
    </row>
    <row r="269" spans="8:10" ht="14.25" customHeight="1">
      <c r="H269" s="100"/>
      <c r="I269" s="100"/>
      <c r="J269" s="100"/>
    </row>
    <row r="270" spans="8:10" ht="14.25" customHeight="1">
      <c r="H270" s="100"/>
      <c r="I270" s="100"/>
      <c r="J270" s="100"/>
    </row>
    <row r="271" spans="8:10" ht="14.25" customHeight="1">
      <c r="H271" s="100"/>
      <c r="I271" s="100"/>
      <c r="J271" s="100"/>
    </row>
    <row r="272" spans="8:10" ht="14.25" customHeight="1">
      <c r="H272" s="100"/>
      <c r="I272" s="100"/>
      <c r="J272" s="100"/>
    </row>
    <row r="273" spans="8:10" ht="14.25" customHeight="1">
      <c r="H273" s="100"/>
      <c r="I273" s="100"/>
      <c r="J273" s="100"/>
    </row>
    <row r="274" spans="8:10" ht="14.25" customHeight="1">
      <c r="H274" s="100"/>
      <c r="I274" s="100"/>
      <c r="J274" s="100"/>
    </row>
    <row r="275" spans="8:10" ht="14.25" customHeight="1">
      <c r="H275" s="100"/>
      <c r="I275" s="100"/>
      <c r="J275" s="100"/>
    </row>
    <row r="276" spans="8:10" ht="14.25" customHeight="1">
      <c r="H276" s="100"/>
      <c r="I276" s="100"/>
      <c r="J276" s="100"/>
    </row>
    <row r="277" spans="8:10" ht="14.25" customHeight="1">
      <c r="H277" s="100"/>
      <c r="I277" s="100"/>
      <c r="J277" s="100"/>
    </row>
    <row r="278" spans="8:10" ht="14.25" customHeight="1">
      <c r="H278" s="100"/>
      <c r="I278" s="100"/>
      <c r="J278" s="100"/>
    </row>
    <row r="279" spans="8:10" ht="14.25" customHeight="1">
      <c r="H279" s="100"/>
      <c r="I279" s="100"/>
      <c r="J279" s="100"/>
    </row>
    <row r="280" spans="8:10" ht="14.25" customHeight="1">
      <c r="H280" s="100"/>
      <c r="I280" s="100"/>
      <c r="J280" s="100"/>
    </row>
    <row r="281" spans="8:10" ht="14.25" customHeight="1">
      <c r="H281" s="100"/>
      <c r="I281" s="100"/>
      <c r="J281" s="100"/>
    </row>
    <row r="282" spans="8:10" ht="14.25" customHeight="1">
      <c r="H282" s="100"/>
      <c r="I282" s="100"/>
      <c r="J282" s="100"/>
    </row>
    <row r="283" spans="8:10" ht="14.25" customHeight="1">
      <c r="H283" s="100"/>
      <c r="I283" s="100"/>
      <c r="J283" s="100"/>
    </row>
    <row r="284" spans="8:10" ht="14.25" customHeight="1">
      <c r="H284" s="100"/>
      <c r="I284" s="100"/>
      <c r="J284" s="100"/>
    </row>
    <row r="285" spans="8:10" ht="14.25" customHeight="1">
      <c r="H285" s="100"/>
      <c r="I285" s="100"/>
      <c r="J285" s="100"/>
    </row>
    <row r="286" spans="8:10" ht="14.25" customHeight="1">
      <c r="H286" s="100"/>
      <c r="I286" s="100"/>
      <c r="J286" s="100"/>
    </row>
    <row r="287" spans="8:10" ht="14.25" customHeight="1">
      <c r="H287" s="100"/>
      <c r="I287" s="100"/>
      <c r="J287" s="100"/>
    </row>
    <row r="288" spans="8:10" ht="14.25" customHeight="1">
      <c r="H288" s="100"/>
      <c r="I288" s="100"/>
      <c r="J288" s="100"/>
    </row>
    <row r="289" spans="8:10" ht="14.25" customHeight="1">
      <c r="H289" s="100"/>
      <c r="I289" s="100"/>
      <c r="J289" s="100"/>
    </row>
    <row r="290" spans="8:10" ht="14.25" customHeight="1">
      <c r="H290" s="100"/>
      <c r="I290" s="100"/>
      <c r="J290" s="100"/>
    </row>
    <row r="291" spans="8:10" ht="14.25" customHeight="1">
      <c r="H291" s="100"/>
      <c r="I291" s="100"/>
      <c r="J291" s="100"/>
    </row>
    <row r="292" spans="8:10" ht="14.25" customHeight="1">
      <c r="H292" s="100"/>
      <c r="I292" s="100"/>
      <c r="J292" s="100"/>
    </row>
    <row r="293" spans="8:10" ht="14.25" customHeight="1">
      <c r="H293" s="100"/>
      <c r="I293" s="100"/>
      <c r="J293" s="100"/>
    </row>
    <row r="294" spans="8:10" ht="14.25" customHeight="1">
      <c r="H294" s="100"/>
      <c r="I294" s="100"/>
      <c r="J294" s="100"/>
    </row>
    <row r="295" spans="8:10" ht="14.25" customHeight="1">
      <c r="H295" s="100"/>
      <c r="I295" s="100"/>
      <c r="J295" s="100"/>
    </row>
    <row r="296" spans="8:10" ht="14.25" customHeight="1">
      <c r="H296" s="100"/>
      <c r="I296" s="100"/>
      <c r="J296" s="100"/>
    </row>
    <row r="297" spans="8:10" ht="14.25" customHeight="1">
      <c r="H297" s="100"/>
      <c r="I297" s="100"/>
      <c r="J297" s="100"/>
    </row>
    <row r="298" spans="8:10" ht="14.25" customHeight="1">
      <c r="H298" s="100"/>
      <c r="I298" s="100"/>
      <c r="J298" s="100"/>
    </row>
    <row r="299" spans="8:10" ht="14.25" customHeight="1">
      <c r="H299" s="100"/>
      <c r="I299" s="100"/>
      <c r="J299" s="100"/>
    </row>
    <row r="300" spans="8:10" ht="14.25" customHeight="1">
      <c r="H300" s="100"/>
      <c r="I300" s="100"/>
      <c r="J300" s="100"/>
    </row>
    <row r="301" spans="8:10" ht="14.25" customHeight="1">
      <c r="H301" s="100"/>
      <c r="I301" s="100"/>
      <c r="J301" s="100"/>
    </row>
    <row r="302" spans="8:10" ht="14.25" customHeight="1">
      <c r="H302" s="100"/>
      <c r="I302" s="100"/>
      <c r="J302" s="100"/>
    </row>
    <row r="303" spans="8:10" ht="14.25" customHeight="1">
      <c r="H303" s="100"/>
      <c r="I303" s="100"/>
      <c r="J303" s="100"/>
    </row>
    <row r="304" spans="8:10" ht="14.25" customHeight="1">
      <c r="H304" s="100"/>
      <c r="I304" s="100"/>
      <c r="J304" s="100"/>
    </row>
    <row r="305" spans="8:10" ht="14.25" customHeight="1">
      <c r="H305" s="100"/>
      <c r="I305" s="100"/>
      <c r="J305" s="100"/>
    </row>
    <row r="306" spans="8:10" ht="14.25" customHeight="1">
      <c r="H306" s="100"/>
      <c r="I306" s="100"/>
      <c r="J306" s="100"/>
    </row>
    <row r="307" spans="8:10" ht="14.25" customHeight="1">
      <c r="H307" s="100"/>
      <c r="I307" s="100"/>
      <c r="J307" s="100"/>
    </row>
    <row r="308" spans="8:10" ht="14.25" customHeight="1">
      <c r="H308" s="100"/>
      <c r="I308" s="100"/>
      <c r="J308" s="100"/>
    </row>
    <row r="309" spans="8:10" ht="14.25" customHeight="1">
      <c r="H309" s="100"/>
      <c r="I309" s="100"/>
      <c r="J309" s="100"/>
    </row>
    <row r="310" spans="8:10" ht="14.25" customHeight="1">
      <c r="H310" s="100"/>
      <c r="I310" s="100"/>
      <c r="J310" s="100"/>
    </row>
    <row r="311" spans="8:10" ht="14.25" customHeight="1">
      <c r="H311" s="100"/>
      <c r="I311" s="100"/>
      <c r="J311" s="100"/>
    </row>
    <row r="312" spans="8:10" ht="14.25" customHeight="1">
      <c r="H312" s="100"/>
      <c r="I312" s="100"/>
      <c r="J312" s="100"/>
    </row>
    <row r="313" spans="8:10" ht="14.25" customHeight="1">
      <c r="H313" s="100"/>
      <c r="I313" s="100"/>
      <c r="J313" s="100"/>
    </row>
    <row r="314" spans="8:10" ht="14.25" customHeight="1">
      <c r="H314" s="100"/>
      <c r="I314" s="100"/>
      <c r="J314" s="100"/>
    </row>
    <row r="315" spans="8:10" ht="14.25" customHeight="1">
      <c r="H315" s="100"/>
      <c r="I315" s="100"/>
      <c r="J315" s="100"/>
    </row>
    <row r="316" spans="8:10" ht="14.25" customHeight="1">
      <c r="H316" s="100"/>
      <c r="I316" s="100"/>
      <c r="J316" s="100"/>
    </row>
    <row r="317" spans="8:10" ht="14.25" customHeight="1">
      <c r="H317" s="100"/>
      <c r="I317" s="100"/>
      <c r="J317" s="100"/>
    </row>
    <row r="318" spans="8:10" ht="14.25" customHeight="1">
      <c r="H318" s="100"/>
      <c r="I318" s="100"/>
      <c r="J318" s="100"/>
    </row>
    <row r="319" spans="8:10" ht="14.25" customHeight="1">
      <c r="H319" s="100"/>
      <c r="I319" s="100"/>
      <c r="J319" s="100"/>
    </row>
    <row r="320" spans="8:10" ht="14.25" customHeight="1">
      <c r="H320" s="100"/>
      <c r="I320" s="100"/>
      <c r="J320" s="100"/>
    </row>
    <row r="321" spans="8:10" ht="14.25" customHeight="1">
      <c r="H321" s="100"/>
      <c r="I321" s="100"/>
      <c r="J321" s="100"/>
    </row>
    <row r="322" spans="8:10" ht="14.25" customHeight="1">
      <c r="H322" s="100"/>
      <c r="I322" s="100"/>
      <c r="J322" s="100"/>
    </row>
    <row r="323" spans="8:10" ht="14.25" customHeight="1">
      <c r="H323" s="100"/>
      <c r="I323" s="100"/>
      <c r="J323" s="100"/>
    </row>
    <row r="324" spans="8:10" ht="14.25" customHeight="1">
      <c r="H324" s="100"/>
      <c r="I324" s="100"/>
      <c r="J324" s="100"/>
    </row>
    <row r="325" spans="8:10" ht="14.25" customHeight="1">
      <c r="H325" s="100"/>
      <c r="I325" s="100"/>
      <c r="J325" s="100"/>
    </row>
    <row r="326" spans="8:10" ht="14.25" customHeight="1">
      <c r="H326" s="100"/>
      <c r="I326" s="100"/>
      <c r="J326" s="100"/>
    </row>
  </sheetData>
  <sheetProtection selectLockedCells="1"/>
  <mergeCells count="7">
    <mergeCell ref="C3:D5"/>
    <mergeCell ref="E4:K5"/>
    <mergeCell ref="F6:F9"/>
    <mergeCell ref="G6:G9"/>
    <mergeCell ref="H6:H9"/>
    <mergeCell ref="I6:I9"/>
    <mergeCell ref="J6:J9"/>
  </mergeCells>
  <conditionalFormatting sqref="H1:H3 H6:H1048576">
    <cfRule type="cellIs" dxfId="40" priority="73" operator="equal">
      <formula>5</formula>
    </cfRule>
    <cfRule type="cellIs" dxfId="39" priority="74" operator="equal">
      <formula>4</formula>
    </cfRule>
    <cfRule type="cellIs" dxfId="38" priority="75" operator="equal">
      <formula>3</formula>
    </cfRule>
    <cfRule type="cellIs" dxfId="37" priority="76" operator="equal">
      <formula>2</formula>
    </cfRule>
    <cfRule type="cellIs" dxfId="36" priority="77" operator="equal">
      <formula>1</formula>
    </cfRule>
  </conditionalFormatting>
  <conditionalFormatting sqref="I1:J3 I6:J10 I11 I12:J22 I23 I24:J51 I52 I53:J80 I81 I82:J100 I101 I102:J1048576">
    <cfRule type="cellIs" dxfId="35" priority="68" operator="between">
      <formula>4.5</formula>
      <formula>5</formula>
    </cfRule>
    <cfRule type="cellIs" dxfId="34" priority="69" operator="between">
      <formula>3.5</formula>
      <formula>4.5</formula>
    </cfRule>
    <cfRule type="cellIs" dxfId="33" priority="70" operator="between">
      <formula>2.5</formula>
      <formula>3.5</formula>
    </cfRule>
    <cfRule type="cellIs" dxfId="32" priority="71" operator="between">
      <formula>1.5</formula>
      <formula>2.5</formula>
    </cfRule>
    <cfRule type="cellIs" dxfId="31" priority="72" operator="between">
      <formula>1</formula>
      <formula>1.5</formula>
    </cfRule>
  </conditionalFormatting>
  <conditionalFormatting sqref="O7">
    <cfRule type="cellIs" dxfId="30" priority="49" operator="lessThan">
      <formula>0</formula>
    </cfRule>
    <cfRule type="cellIs" dxfId="29" priority="50" operator="greaterThan">
      <formula>0</formula>
    </cfRule>
  </conditionalFormatting>
  <conditionalFormatting sqref="O5">
    <cfRule type="cellIs" dxfId="28" priority="8" operator="greaterThan">
      <formula>1</formula>
    </cfRule>
  </conditionalFormatting>
  <conditionalFormatting sqref="O5:O6">
    <cfRule type="cellIs" dxfId="27" priority="6" operator="lessThan">
      <formula>0</formula>
    </cfRule>
    <cfRule type="cellIs" dxfId="26" priority="7" operator="greaterThan">
      <formula>0</formula>
    </cfRule>
  </conditionalFormatting>
  <conditionalFormatting sqref="C3">
    <cfRule type="cellIs" dxfId="25" priority="1" operator="greaterThan">
      <formula>1.1</formula>
    </cfRule>
    <cfRule type="cellIs" dxfId="24" priority="2" operator="between">
      <formula>0.9</formula>
      <formula>1.1</formula>
    </cfRule>
    <cfRule type="cellIs" dxfId="23" priority="3" operator="between">
      <formula>0.8</formula>
      <formula>0.9</formula>
    </cfRule>
    <cfRule type="cellIs" dxfId="22" priority="4" operator="lessThan">
      <formula>0.8</formula>
    </cfRule>
  </conditionalFormatting>
  <dataValidations count="1">
    <dataValidation type="decimal" allowBlank="1" showInputMessage="1" showErrorMessage="1" sqref="H11:H301" xr:uid="{5FADCA91-F605-124F-9777-01597BF11C19}">
      <formula1>1</formula1>
      <formula2>5</formula2>
    </dataValidation>
  </dataValidations>
  <pageMargins left="0.25" right="0.25" top="0.75" bottom="0.75" header="0.3" footer="0.3"/>
  <pageSetup paperSize="9" scale="3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E4E2D-CC63-4BE4-836E-462A77EF1EAE}">
  <sheetPr>
    <tabColor rgb="FFE2EFDA"/>
    <pageSetUpPr fitToPage="1"/>
  </sheetPr>
  <dimension ref="A1:P119"/>
  <sheetViews>
    <sheetView zoomScale="40" zoomScaleNormal="100" workbookViewId="0">
      <selection activeCell="K16" sqref="K16"/>
    </sheetView>
  </sheetViews>
  <sheetFormatPr defaultColWidth="9.140625" defaultRowHeight="14.25" customHeight="1"/>
  <cols>
    <col min="1" max="1" width="3.5703125" style="206" customWidth="1"/>
    <col min="2" max="2" width="3.5703125" style="53" customWidth="1"/>
    <col min="3" max="4" width="4.7109375" style="53" customWidth="1"/>
    <col min="5" max="5" width="86.42578125" style="53" customWidth="1"/>
    <col min="6" max="6" width="3.5703125" style="53" customWidth="1"/>
    <col min="7" max="7" width="3.5703125" style="55" customWidth="1"/>
    <col min="8" max="9" width="3.5703125" style="53" customWidth="1"/>
    <col min="10" max="10" width="5.7109375" style="53" customWidth="1"/>
    <col min="11" max="11" width="80.7109375" style="53" customWidth="1"/>
    <col min="12" max="13" width="3.5703125" style="53" customWidth="1"/>
    <col min="14" max="14" width="15.42578125" style="63" customWidth="1"/>
    <col min="15" max="15" width="10.28515625" style="103" customWidth="1"/>
    <col min="16" max="16384" width="9.140625" style="53"/>
  </cols>
  <sheetData>
    <row r="1" spans="1:16" s="49" customFormat="1" ht="26.1" customHeight="1">
      <c r="A1" s="202"/>
      <c r="B1" s="202"/>
      <c r="C1" s="203" t="s">
        <v>341</v>
      </c>
      <c r="D1" s="202"/>
      <c r="E1" s="202"/>
      <c r="F1" s="202"/>
      <c r="G1" s="204"/>
      <c r="H1" s="205"/>
      <c r="I1" s="205"/>
      <c r="J1" s="205"/>
      <c r="K1" s="205" t="str">
        <f>_xlfn.CONCAT(Synthèse!C1, " // Cours ", Synthèse!H3)</f>
        <v>Kangourou / Toto Tutu // Cours RU - Chef de camp JS SdC/T</v>
      </c>
      <c r="L1" s="202"/>
      <c r="N1" s="50" t="s">
        <v>121</v>
      </c>
      <c r="O1" s="51"/>
    </row>
    <row r="2" spans="1:16" ht="15">
      <c r="D2" s="54"/>
      <c r="E2" s="54"/>
      <c r="F2" s="54"/>
      <c r="N2" s="56">
        <f>COUNTBLANK(E11:E147)</f>
        <v>95</v>
      </c>
      <c r="O2" s="57">
        <f>COUNTBLANK(H11:H159)-N2</f>
        <v>54</v>
      </c>
      <c r="P2" s="53" t="s">
        <v>122</v>
      </c>
    </row>
    <row r="3" spans="1:16" ht="15" customHeight="1">
      <c r="C3" s="295" t="str">
        <f>O6</f>
        <v/>
      </c>
      <c r="D3" s="296"/>
      <c r="E3" s="58" t="s">
        <v>47</v>
      </c>
      <c r="F3" s="58"/>
      <c r="G3" s="59"/>
      <c r="H3" s="60"/>
      <c r="I3" s="60"/>
      <c r="J3" s="61"/>
      <c r="K3" s="62" t="s">
        <v>48</v>
      </c>
      <c r="O3" s="64" t="e">
        <f>AVERAGEIF(H11:H159,"&lt;&gt;0")</f>
        <v>#DIV/0!</v>
      </c>
      <c r="P3" s="53" t="s">
        <v>123</v>
      </c>
    </row>
    <row r="4" spans="1:16" ht="15" customHeight="1">
      <c r="C4" s="297"/>
      <c r="D4" s="298"/>
      <c r="E4" s="311"/>
      <c r="F4" s="312"/>
      <c r="G4" s="312"/>
      <c r="H4" s="312"/>
      <c r="I4" s="312"/>
      <c r="J4" s="312"/>
      <c r="K4" s="313"/>
      <c r="O4" s="65" t="str" cm="1">
        <f t="array" ref="O4">IFERROR(SUMPRODUCT(N11:N159,F11:F159)/SUMPRODUCT(--(N11:N159&lt;&gt;""),F11:F159),"")</f>
        <v/>
      </c>
      <c r="P4" s="53" t="s">
        <v>124</v>
      </c>
    </row>
    <row r="5" spans="1:16" ht="15" customHeight="1">
      <c r="C5" s="299"/>
      <c r="D5" s="300"/>
      <c r="E5" s="314"/>
      <c r="F5" s="312"/>
      <c r="G5" s="312"/>
      <c r="H5" s="312"/>
      <c r="I5" s="312"/>
      <c r="J5" s="312"/>
      <c r="K5" s="315"/>
      <c r="O5" s="64" t="e">
        <f>C3-O4</f>
        <v>#VALUE!</v>
      </c>
      <c r="P5" s="53" t="s">
        <v>125</v>
      </c>
    </row>
    <row r="6" spans="1:16" ht="15" customHeight="1">
      <c r="C6" s="66"/>
      <c r="D6" s="66"/>
      <c r="E6" s="66"/>
      <c r="F6" s="302" t="s">
        <v>126</v>
      </c>
      <c r="G6" s="294" t="s">
        <v>127</v>
      </c>
      <c r="H6" s="294" t="s">
        <v>128</v>
      </c>
      <c r="I6" s="294" t="s">
        <v>129</v>
      </c>
      <c r="J6" s="294" t="s">
        <v>130</v>
      </c>
      <c r="O6" s="225" t="str">
        <f>IFERROR(ROUND(IF(O4&lt;=3, (O4-1)/2, 1 + (O4-3)*0.25),2),"")</f>
        <v/>
      </c>
      <c r="P6" s="53" t="s">
        <v>131</v>
      </c>
    </row>
    <row r="7" spans="1:16" s="68" customFormat="1" ht="18" customHeight="1">
      <c r="A7" s="207"/>
      <c r="C7" s="208" t="s">
        <v>132</v>
      </c>
      <c r="D7" s="209"/>
      <c r="E7" s="209"/>
      <c r="F7" s="302"/>
      <c r="G7" s="294"/>
      <c r="H7" s="294"/>
      <c r="I7" s="294"/>
      <c r="J7" s="294"/>
      <c r="K7" s="209"/>
      <c r="N7" s="71"/>
      <c r="O7" s="72"/>
    </row>
    <row r="8" spans="1:16" s="68" customFormat="1" ht="18" customHeight="1">
      <c r="A8" s="207"/>
      <c r="D8" s="73" t="s">
        <v>133</v>
      </c>
      <c r="E8" s="74"/>
      <c r="F8" s="302"/>
      <c r="G8" s="294"/>
      <c r="H8" s="294"/>
      <c r="I8" s="294"/>
      <c r="J8" s="294"/>
      <c r="K8" s="74"/>
      <c r="N8" s="71" t="s">
        <v>134</v>
      </c>
      <c r="O8" s="64"/>
    </row>
    <row r="9" spans="1:16" s="68" customFormat="1" ht="18" customHeight="1">
      <c r="A9" s="207"/>
      <c r="D9" s="76"/>
      <c r="E9" s="68" t="s">
        <v>135</v>
      </c>
      <c r="F9" s="302"/>
      <c r="G9" s="294"/>
      <c r="H9" s="294"/>
      <c r="I9" s="294"/>
      <c r="J9" s="294"/>
      <c r="K9" s="66" t="s">
        <v>50</v>
      </c>
      <c r="N9" s="71" t="s">
        <v>136</v>
      </c>
      <c r="O9" s="64" t="s">
        <v>137</v>
      </c>
    </row>
    <row r="10" spans="1:16" s="68" customFormat="1" ht="18" customHeight="1">
      <c r="A10" s="207"/>
      <c r="G10" s="77"/>
      <c r="H10" s="66"/>
      <c r="I10" s="66"/>
      <c r="J10" s="66"/>
      <c r="K10" s="66"/>
      <c r="N10" s="71"/>
      <c r="O10" s="64"/>
    </row>
    <row r="11" spans="1:16" s="68" customFormat="1" ht="30" customHeight="1" thickBot="1">
      <c r="A11" s="207"/>
      <c r="C11" s="210" t="s">
        <v>342</v>
      </c>
      <c r="D11" s="210"/>
      <c r="E11" s="210"/>
      <c r="F11" s="211">
        <v>1</v>
      </c>
      <c r="G11" s="212"/>
      <c r="H11" s="213"/>
      <c r="I11" s="214"/>
      <c r="J11" s="236" t="str">
        <f>IFERROR(ROUND(IF(N11&lt;=3, (N11-1)/2, 1 + (N11-3)*0.25),2),"")</f>
        <v/>
      </c>
      <c r="K11" s="215"/>
      <c r="L11" s="84"/>
      <c r="M11" s="64"/>
      <c r="N11" s="71" t="str" cm="1">
        <f t="array" ref="N11">IFERROR(SUMPRODUCT(I12:I19,G12:G19)/SUMPRODUCT(--(I12:I19&lt;&gt;""),G12:G19),"")</f>
        <v/>
      </c>
      <c r="O11" s="64" t="e">
        <f>J11-N11</f>
        <v>#VALUE!</v>
      </c>
    </row>
    <row r="12" spans="1:16" s="68" customFormat="1" ht="18" customHeight="1">
      <c r="A12" s="207"/>
      <c r="D12" s="86" t="s">
        <v>343</v>
      </c>
      <c r="E12" s="87"/>
      <c r="F12" s="87"/>
      <c r="G12" s="88">
        <v>2</v>
      </c>
      <c r="H12" s="89"/>
      <c r="I12" s="90" t="str">
        <f>IFERROR(AVERAGEIF(H13:H15, "&lt;&gt;0"), "")</f>
        <v/>
      </c>
      <c r="J12" s="90"/>
      <c r="K12" s="91"/>
      <c r="N12" s="71"/>
      <c r="O12" s="64"/>
    </row>
    <row r="13" spans="1:16" s="68" customFormat="1" ht="18" customHeight="1">
      <c r="A13" s="207"/>
      <c r="D13" s="92"/>
      <c r="E13" s="68" t="s">
        <v>344</v>
      </c>
      <c r="F13" s="93"/>
      <c r="G13" s="94"/>
      <c r="H13" s="95"/>
      <c r="I13" s="96"/>
      <c r="J13" s="96"/>
      <c r="K13" s="97"/>
      <c r="N13" s="71"/>
      <c r="O13" s="64"/>
    </row>
    <row r="14" spans="1:16" s="68" customFormat="1" ht="18" customHeight="1">
      <c r="A14" s="207"/>
      <c r="D14" s="92"/>
      <c r="E14" s="227" t="s">
        <v>345</v>
      </c>
      <c r="F14" s="93"/>
      <c r="G14" s="94"/>
      <c r="H14" s="95"/>
      <c r="I14" s="96"/>
      <c r="J14" s="96"/>
      <c r="K14" s="97"/>
      <c r="N14" s="71"/>
      <c r="O14" s="64"/>
    </row>
    <row r="15" spans="1:16" s="68" customFormat="1" ht="18" customHeight="1">
      <c r="A15" s="207"/>
      <c r="D15" s="92"/>
      <c r="E15" s="68" t="s">
        <v>346</v>
      </c>
      <c r="F15" s="93"/>
      <c r="G15" s="94"/>
      <c r="H15" s="95"/>
      <c r="I15" s="96"/>
      <c r="J15" s="96"/>
      <c r="K15" s="97"/>
      <c r="N15" s="71"/>
      <c r="O15" s="64"/>
    </row>
    <row r="16" spans="1:16" s="68" customFormat="1" ht="18" customHeight="1">
      <c r="A16" s="207"/>
      <c r="D16" s="86" t="s">
        <v>347</v>
      </c>
      <c r="E16" s="87"/>
      <c r="F16" s="87"/>
      <c r="G16" s="88">
        <v>1</v>
      </c>
      <c r="H16" s="89"/>
      <c r="I16" s="90" t="str">
        <f>IFERROR(AVERAGEIF(H17:H19, "&lt;&gt;0"), "")</f>
        <v/>
      </c>
      <c r="J16" s="90"/>
      <c r="K16" s="91"/>
      <c r="N16" s="71"/>
      <c r="O16" s="64"/>
    </row>
    <row r="17" spans="1:15" s="68" customFormat="1" ht="18" customHeight="1">
      <c r="A17" s="207"/>
      <c r="D17" s="92"/>
      <c r="E17" s="68" t="s">
        <v>348</v>
      </c>
      <c r="F17" s="93"/>
      <c r="G17" s="94"/>
      <c r="H17" s="95"/>
      <c r="I17" s="96"/>
      <c r="J17" s="96"/>
      <c r="K17" s="97"/>
      <c r="N17" s="71"/>
      <c r="O17" s="64"/>
    </row>
    <row r="18" spans="1:15" s="68" customFormat="1" ht="18" customHeight="1">
      <c r="A18" s="207"/>
      <c r="D18" s="92"/>
      <c r="E18" s="228" t="s">
        <v>349</v>
      </c>
      <c r="F18" s="93"/>
      <c r="G18" s="94"/>
      <c r="H18" s="95"/>
      <c r="I18" s="96"/>
      <c r="J18" s="96"/>
      <c r="K18" s="97"/>
      <c r="N18" s="71"/>
      <c r="O18" s="64"/>
    </row>
    <row r="19" spans="1:15" s="68" customFormat="1" ht="18" customHeight="1">
      <c r="A19" s="207"/>
      <c r="D19" s="92"/>
      <c r="E19" s="68" t="s">
        <v>350</v>
      </c>
      <c r="F19" s="93"/>
      <c r="G19" s="94"/>
      <c r="H19" s="95"/>
      <c r="I19" s="96"/>
      <c r="J19" s="96"/>
      <c r="K19" s="97"/>
      <c r="N19" s="71"/>
      <c r="O19" s="64"/>
    </row>
    <row r="20" spans="1:15" s="68" customFormat="1" ht="30" customHeight="1" thickBot="1">
      <c r="A20" s="207"/>
      <c r="C20" s="210" t="s">
        <v>351</v>
      </c>
      <c r="D20" s="210"/>
      <c r="E20" s="210"/>
      <c r="F20" s="211">
        <v>2</v>
      </c>
      <c r="G20" s="212"/>
      <c r="H20" s="213"/>
      <c r="I20" s="214"/>
      <c r="J20" s="236" t="str">
        <f>IFERROR(ROUND(IF(N20&lt;=3, (N20-1)/2, 1 + (N20-3)*0.25),2),"")</f>
        <v/>
      </c>
      <c r="K20" s="215"/>
      <c r="L20" s="84"/>
      <c r="M20" s="64"/>
      <c r="N20" s="71" t="str" cm="1">
        <f t="array" ref="N20">IFERROR(SUMPRODUCT(I21:I42,G21:G42)/SUMPRODUCT(--(I21:I42&lt;&gt;""),G21:G42),"")</f>
        <v/>
      </c>
      <c r="O20" s="64" t="e">
        <f>J20-N20</f>
        <v>#VALUE!</v>
      </c>
    </row>
    <row r="21" spans="1:15" s="68" customFormat="1" ht="18" customHeight="1">
      <c r="A21" s="207"/>
      <c r="D21" s="86" t="s">
        <v>352</v>
      </c>
      <c r="E21" s="87"/>
      <c r="F21" s="87"/>
      <c r="G21" s="88">
        <v>1</v>
      </c>
      <c r="H21" s="89"/>
      <c r="I21" s="90" t="str">
        <f>IFERROR(AVERAGEIF(H22:H25, "&lt;&gt;0"), "")</f>
        <v/>
      </c>
      <c r="J21" s="90"/>
      <c r="K21" s="91"/>
      <c r="N21" s="71"/>
      <c r="O21" s="64"/>
    </row>
    <row r="22" spans="1:15" s="68" customFormat="1" ht="18" customHeight="1">
      <c r="A22" s="207"/>
      <c r="D22" s="92"/>
      <c r="E22" s="68" t="s">
        <v>353</v>
      </c>
      <c r="F22" s="93"/>
      <c r="G22" s="94"/>
      <c r="H22" s="95"/>
      <c r="I22" s="96"/>
      <c r="J22" s="96"/>
      <c r="K22" s="97"/>
      <c r="N22" s="71"/>
      <c r="O22" s="64"/>
    </row>
    <row r="23" spans="1:15" s="68" customFormat="1" ht="18" customHeight="1">
      <c r="A23" s="207"/>
      <c r="D23" s="92"/>
      <c r="E23" s="68" t="s">
        <v>354</v>
      </c>
      <c r="F23" s="93"/>
      <c r="G23" s="94"/>
      <c r="H23" s="95"/>
      <c r="I23" s="96"/>
      <c r="J23" s="96"/>
      <c r="K23" s="97"/>
      <c r="N23" s="71"/>
      <c r="O23" s="64"/>
    </row>
    <row r="24" spans="1:15" s="68" customFormat="1" ht="18" customHeight="1">
      <c r="A24" s="207"/>
      <c r="D24" s="92"/>
      <c r="E24" s="68" t="s">
        <v>355</v>
      </c>
      <c r="F24" s="93"/>
      <c r="G24" s="94"/>
      <c r="H24" s="95"/>
      <c r="I24" s="96"/>
      <c r="J24" s="96"/>
      <c r="K24" s="97"/>
      <c r="N24" s="71"/>
      <c r="O24" s="64"/>
    </row>
    <row r="25" spans="1:15" s="68" customFormat="1" ht="18" customHeight="1">
      <c r="A25" s="207"/>
      <c r="D25" s="92"/>
      <c r="E25" s="68" t="s">
        <v>356</v>
      </c>
      <c r="F25" s="93"/>
      <c r="G25" s="94"/>
      <c r="H25" s="95"/>
      <c r="I25" s="96"/>
      <c r="J25" s="96"/>
      <c r="K25" s="97"/>
      <c r="N25" s="71"/>
      <c r="O25" s="64"/>
    </row>
    <row r="26" spans="1:15" s="68" customFormat="1" ht="18" customHeight="1">
      <c r="A26" s="207"/>
      <c r="D26" s="86" t="s">
        <v>357</v>
      </c>
      <c r="E26" s="87"/>
      <c r="F26" s="87"/>
      <c r="G26" s="88">
        <v>1</v>
      </c>
      <c r="H26" s="89"/>
      <c r="I26" s="90" t="str">
        <f>IFERROR(AVERAGEIF(H27:H29, "&lt;&gt;0"), "")</f>
        <v/>
      </c>
      <c r="J26" s="90"/>
      <c r="K26" s="91"/>
      <c r="N26" s="71"/>
      <c r="O26" s="64"/>
    </row>
    <row r="27" spans="1:15" s="68" customFormat="1" ht="19.899999999999999" customHeight="1">
      <c r="A27" s="207"/>
      <c r="D27" s="92"/>
      <c r="E27" s="228" t="s">
        <v>349</v>
      </c>
      <c r="F27" s="93"/>
      <c r="G27" s="94"/>
      <c r="H27" s="95"/>
      <c r="I27" s="96"/>
      <c r="J27" s="96"/>
      <c r="K27" s="97"/>
      <c r="N27" s="71"/>
      <c r="O27" s="64"/>
    </row>
    <row r="28" spans="1:15" s="68" customFormat="1" ht="19.899999999999999" customHeight="1">
      <c r="A28" s="207"/>
      <c r="D28" s="92"/>
      <c r="E28" s="68" t="s">
        <v>350</v>
      </c>
      <c r="F28" s="93"/>
      <c r="G28" s="94"/>
      <c r="H28" s="95"/>
      <c r="I28" s="96"/>
      <c r="J28" s="96"/>
      <c r="K28" s="97"/>
      <c r="N28" s="71"/>
      <c r="O28" s="64"/>
    </row>
    <row r="29" spans="1:15" s="68" customFormat="1" ht="18" customHeight="1">
      <c r="A29" s="207"/>
      <c r="D29" s="92"/>
      <c r="E29" s="68" t="s">
        <v>358</v>
      </c>
      <c r="F29" s="93"/>
      <c r="G29" s="94"/>
      <c r="H29" s="95"/>
      <c r="I29" s="96"/>
      <c r="J29" s="96"/>
      <c r="K29" s="97"/>
      <c r="N29" s="71"/>
      <c r="O29" s="64"/>
    </row>
    <row r="30" spans="1:15" s="68" customFormat="1" ht="18" customHeight="1">
      <c r="A30" s="207"/>
      <c r="D30" s="86" t="s">
        <v>359</v>
      </c>
      <c r="E30" s="87"/>
      <c r="F30" s="87"/>
      <c r="G30" s="88">
        <v>2</v>
      </c>
      <c r="H30" s="89"/>
      <c r="I30" s="90" t="str">
        <f>IFERROR(AVERAGEIF(H31:H33, "&lt;&gt;0"), "")</f>
        <v/>
      </c>
      <c r="J30" s="90"/>
      <c r="K30" s="91"/>
      <c r="N30" s="71"/>
      <c r="O30" s="64"/>
    </row>
    <row r="31" spans="1:15" s="68" customFormat="1" ht="18" customHeight="1">
      <c r="A31" s="207"/>
      <c r="D31" s="92"/>
      <c r="E31" s="68" t="s">
        <v>360</v>
      </c>
      <c r="F31" s="93"/>
      <c r="G31" s="94"/>
      <c r="H31" s="95"/>
      <c r="I31" s="96"/>
      <c r="J31" s="96"/>
      <c r="K31" s="97"/>
      <c r="N31" s="71"/>
      <c r="O31" s="64"/>
    </row>
    <row r="32" spans="1:15" s="68" customFormat="1" ht="18" customHeight="1">
      <c r="A32" s="207"/>
      <c r="D32" s="92"/>
      <c r="E32" s="163" t="s">
        <v>361</v>
      </c>
      <c r="F32" s="93"/>
      <c r="G32" s="94"/>
      <c r="H32" s="95"/>
      <c r="I32" s="96"/>
      <c r="J32" s="96"/>
      <c r="K32" s="97"/>
      <c r="N32" s="71"/>
      <c r="O32" s="64"/>
    </row>
    <row r="33" spans="1:16" s="68" customFormat="1" ht="18" customHeight="1">
      <c r="A33" s="207"/>
      <c r="D33" s="92"/>
      <c r="E33" s="68" t="s">
        <v>362</v>
      </c>
      <c r="F33" s="93"/>
      <c r="G33" s="94"/>
      <c r="H33" s="95"/>
      <c r="I33" s="96"/>
      <c r="J33" s="96"/>
      <c r="K33" s="97"/>
      <c r="N33" s="71"/>
      <c r="O33" s="64"/>
    </row>
    <row r="34" spans="1:16" s="68" customFormat="1" ht="18" customHeight="1">
      <c r="A34" s="207"/>
      <c r="D34" s="86" t="s">
        <v>363</v>
      </c>
      <c r="E34" s="87"/>
      <c r="F34" s="87"/>
      <c r="G34" s="88">
        <v>1</v>
      </c>
      <c r="H34" s="89"/>
      <c r="I34" s="90" t="str">
        <f>IFERROR(AVERAGEIF(H35:H42, "&lt;&gt;0"), "")</f>
        <v/>
      </c>
      <c r="J34" s="90"/>
      <c r="K34" s="91"/>
      <c r="N34" s="71"/>
      <c r="O34" s="64"/>
    </row>
    <row r="35" spans="1:16" s="68" customFormat="1" ht="18" customHeight="1">
      <c r="A35" s="207"/>
      <c r="D35" s="92"/>
      <c r="E35" s="68" t="s">
        <v>364</v>
      </c>
      <c r="F35" s="93"/>
      <c r="G35" s="94"/>
      <c r="H35" s="95"/>
      <c r="I35" s="96"/>
      <c r="J35" s="96"/>
      <c r="K35" s="97"/>
      <c r="N35" s="71"/>
      <c r="O35" s="64"/>
    </row>
    <row r="36" spans="1:16" s="68" customFormat="1" ht="18" customHeight="1">
      <c r="A36" s="207"/>
      <c r="D36" s="92"/>
      <c r="E36" s="68" t="s">
        <v>365</v>
      </c>
      <c r="F36" s="93"/>
      <c r="G36" s="94"/>
      <c r="H36" s="95"/>
      <c r="I36" s="96"/>
      <c r="J36" s="96"/>
      <c r="K36" s="97"/>
      <c r="N36" s="71"/>
      <c r="O36" s="64"/>
    </row>
    <row r="37" spans="1:16" s="68" customFormat="1" ht="18" customHeight="1">
      <c r="A37" s="207"/>
      <c r="D37" s="92"/>
      <c r="E37" s="68" t="s">
        <v>366</v>
      </c>
      <c r="F37" s="93"/>
      <c r="G37" s="94"/>
      <c r="H37" s="95"/>
      <c r="I37" s="96"/>
      <c r="J37" s="96"/>
      <c r="K37" s="97"/>
      <c r="N37" s="71"/>
      <c r="O37" s="64"/>
    </row>
    <row r="38" spans="1:16" s="68" customFormat="1" ht="18" customHeight="1">
      <c r="A38" s="207"/>
      <c r="D38" s="92"/>
      <c r="E38" s="68" t="s">
        <v>367</v>
      </c>
      <c r="F38" s="93"/>
      <c r="G38" s="94"/>
      <c r="H38" s="95"/>
      <c r="I38" s="96"/>
      <c r="J38" s="96"/>
      <c r="K38" s="97"/>
      <c r="N38" s="71"/>
      <c r="O38" s="64"/>
    </row>
    <row r="39" spans="1:16" s="68" customFormat="1" ht="18" customHeight="1">
      <c r="A39" s="207"/>
      <c r="D39" s="92"/>
      <c r="E39" s="68" t="s">
        <v>368</v>
      </c>
      <c r="F39" s="93"/>
      <c r="G39" s="94"/>
      <c r="H39" s="95"/>
      <c r="I39" s="96"/>
      <c r="J39" s="96"/>
      <c r="K39" s="97"/>
      <c r="N39" s="71"/>
      <c r="O39" s="64"/>
    </row>
    <row r="40" spans="1:16" s="68" customFormat="1" ht="18" customHeight="1">
      <c r="A40" s="207"/>
      <c r="D40" s="92"/>
      <c r="E40" s="68" t="s">
        <v>369</v>
      </c>
      <c r="F40" s="93"/>
      <c r="G40" s="94"/>
      <c r="H40" s="95"/>
      <c r="I40" s="96"/>
      <c r="J40" s="96"/>
      <c r="K40" s="97"/>
      <c r="N40" s="71"/>
      <c r="O40" s="64"/>
    </row>
    <row r="41" spans="1:16" s="68" customFormat="1" ht="18" customHeight="1">
      <c r="A41" s="207"/>
      <c r="D41" s="92"/>
      <c r="E41" s="68" t="s">
        <v>370</v>
      </c>
      <c r="F41" s="93"/>
      <c r="G41" s="94"/>
      <c r="H41" s="95"/>
      <c r="I41" s="96"/>
      <c r="J41" s="96"/>
      <c r="K41" s="97"/>
      <c r="N41" s="71"/>
      <c r="O41" s="64"/>
    </row>
    <row r="42" spans="1:16" s="68" customFormat="1" ht="18" customHeight="1">
      <c r="A42" s="207"/>
      <c r="D42" s="92"/>
      <c r="E42" s="68" t="s">
        <v>371</v>
      </c>
      <c r="F42" s="93"/>
      <c r="G42" s="94"/>
      <c r="H42" s="95"/>
      <c r="I42" s="96"/>
      <c r="J42" s="96"/>
      <c r="K42" s="97"/>
      <c r="N42" s="71"/>
      <c r="O42" s="64"/>
    </row>
    <row r="43" spans="1:16" s="68" customFormat="1" ht="30" customHeight="1" thickBot="1">
      <c r="A43" s="207"/>
      <c r="C43" s="210" t="s">
        <v>372</v>
      </c>
      <c r="D43" s="210"/>
      <c r="E43" s="210"/>
      <c r="F43" s="211">
        <v>2</v>
      </c>
      <c r="G43" s="212"/>
      <c r="H43" s="213"/>
      <c r="I43" s="214"/>
      <c r="J43" s="236" t="str">
        <f>IFERROR(ROUND(IF(N43&lt;=3, (N43-1)/2, 1 + (N43-3)*0.25),2),"")</f>
        <v/>
      </c>
      <c r="K43" s="215"/>
      <c r="L43" s="84"/>
      <c r="M43" s="64"/>
      <c r="N43" s="71" t="str" cm="1">
        <f t="array" ref="N43">IFERROR(SUMPRODUCT(I44:I64,G44:G64)/SUMPRODUCT(--(I44:I64&lt;&gt;""),G44:G64),"")</f>
        <v/>
      </c>
      <c r="O43" s="64" t="e">
        <f>J43-N43</f>
        <v>#VALUE!</v>
      </c>
    </row>
    <row r="44" spans="1:16" s="68" customFormat="1" ht="18" customHeight="1">
      <c r="A44" s="207"/>
      <c r="D44" s="86" t="s">
        <v>373</v>
      </c>
      <c r="E44" s="87"/>
      <c r="F44" s="87"/>
      <c r="G44" s="88">
        <v>1</v>
      </c>
      <c r="H44" s="89"/>
      <c r="I44" s="90" t="str">
        <f>IFERROR(AVERAGEIF(H45:H47, "&lt;&gt;0"), "")</f>
        <v/>
      </c>
      <c r="J44" s="90"/>
      <c r="K44" s="91"/>
      <c r="N44" s="71"/>
      <c r="O44" s="64"/>
    </row>
    <row r="45" spans="1:16" s="68" customFormat="1" ht="18" customHeight="1">
      <c r="A45" s="207"/>
      <c r="D45" s="92"/>
      <c r="E45" s="68" t="s">
        <v>374</v>
      </c>
      <c r="F45" s="93"/>
      <c r="G45" s="94"/>
      <c r="H45" s="95"/>
      <c r="I45" s="96"/>
      <c r="J45" s="96"/>
      <c r="K45" s="97"/>
      <c r="N45" s="71"/>
      <c r="O45" s="64"/>
      <c r="P45" s="216"/>
    </row>
    <row r="46" spans="1:16" s="68" customFormat="1" ht="18" customHeight="1">
      <c r="A46" s="207"/>
      <c r="D46" s="92"/>
      <c r="E46" s="68" t="s">
        <v>247</v>
      </c>
      <c r="F46" s="93"/>
      <c r="G46" s="94"/>
      <c r="H46" s="95"/>
      <c r="I46" s="96"/>
      <c r="J46" s="96"/>
      <c r="K46" s="97"/>
      <c r="N46" s="71"/>
      <c r="O46" s="64"/>
      <c r="P46" s="216"/>
    </row>
    <row r="47" spans="1:16" s="68" customFormat="1" ht="18" customHeight="1">
      <c r="A47" s="207"/>
      <c r="D47" s="92"/>
      <c r="E47" s="68" t="s">
        <v>248</v>
      </c>
      <c r="F47" s="93"/>
      <c r="G47" s="94"/>
      <c r="H47" s="95"/>
      <c r="I47" s="96"/>
      <c r="J47" s="96"/>
      <c r="K47" s="97"/>
      <c r="N47" s="71"/>
      <c r="O47" s="64"/>
      <c r="P47" s="216"/>
    </row>
    <row r="48" spans="1:16" s="68" customFormat="1" ht="18" customHeight="1">
      <c r="A48" s="207"/>
      <c r="D48" s="86" t="s">
        <v>375</v>
      </c>
      <c r="E48" s="87"/>
      <c r="F48" s="87"/>
      <c r="G48" s="88">
        <v>1</v>
      </c>
      <c r="H48" s="89"/>
      <c r="I48" s="90" t="str">
        <f>IFERROR(AVERAGEIF(H49:H51, "&lt;&gt;0"), "")</f>
        <v/>
      </c>
      <c r="J48" s="90"/>
      <c r="K48" s="91"/>
      <c r="N48" s="71"/>
      <c r="O48" s="64"/>
    </row>
    <row r="49" spans="1:15" s="68" customFormat="1" ht="18" customHeight="1">
      <c r="A49" s="207"/>
      <c r="D49" s="92"/>
      <c r="E49" s="68" t="s">
        <v>376</v>
      </c>
      <c r="F49" s="93"/>
      <c r="G49" s="94"/>
      <c r="H49" s="95"/>
      <c r="I49" s="96"/>
      <c r="J49" s="96"/>
      <c r="K49" s="97"/>
      <c r="N49" s="71"/>
      <c r="O49" s="64"/>
    </row>
    <row r="50" spans="1:15" s="68" customFormat="1" ht="18" customHeight="1">
      <c r="A50" s="207"/>
      <c r="D50" s="92"/>
      <c r="E50" s="68" t="s">
        <v>377</v>
      </c>
      <c r="F50" s="93"/>
      <c r="G50" s="94"/>
      <c r="H50" s="95"/>
      <c r="I50" s="96"/>
      <c r="J50" s="96"/>
      <c r="K50" s="97"/>
      <c r="N50" s="71"/>
    </row>
    <row r="51" spans="1:15" s="68" customFormat="1" ht="18" customHeight="1">
      <c r="A51" s="207"/>
      <c r="D51" s="92"/>
      <c r="E51" s="68" t="s">
        <v>378</v>
      </c>
      <c r="F51" s="93"/>
      <c r="G51" s="94"/>
      <c r="H51" s="95"/>
      <c r="I51" s="96"/>
      <c r="J51" s="96"/>
      <c r="K51" s="97"/>
      <c r="N51" s="71"/>
    </row>
    <row r="52" spans="1:15" s="68" customFormat="1" ht="18" customHeight="1">
      <c r="A52" s="207"/>
      <c r="D52" s="86" t="s">
        <v>359</v>
      </c>
      <c r="E52" s="87"/>
      <c r="F52" s="87"/>
      <c r="G52" s="88">
        <v>2</v>
      </c>
      <c r="H52" s="89"/>
      <c r="I52" s="90" t="str">
        <f>IFERROR(AVERAGEIF(H53:H55, "&lt;&gt;0"), "")</f>
        <v/>
      </c>
      <c r="J52" s="90"/>
      <c r="K52" s="91"/>
      <c r="N52" s="71"/>
      <c r="O52" s="64"/>
    </row>
    <row r="53" spans="1:15" s="68" customFormat="1" ht="18" customHeight="1">
      <c r="A53" s="207"/>
      <c r="D53" s="92"/>
      <c r="E53" s="68" t="s">
        <v>379</v>
      </c>
      <c r="F53" s="93"/>
      <c r="G53" s="94"/>
      <c r="H53" s="95"/>
      <c r="I53" s="96"/>
      <c r="J53" s="96"/>
      <c r="K53" s="97"/>
      <c r="N53" s="71"/>
      <c r="O53" s="64"/>
    </row>
    <row r="54" spans="1:15" s="68" customFormat="1" ht="18" customHeight="1">
      <c r="A54" s="207"/>
      <c r="D54" s="92"/>
      <c r="E54" s="68" t="s">
        <v>380</v>
      </c>
      <c r="F54" s="93"/>
      <c r="G54" s="94"/>
      <c r="H54" s="95"/>
      <c r="I54" s="96"/>
      <c r="J54" s="96"/>
      <c r="K54" s="97"/>
      <c r="N54" s="71"/>
      <c r="O54" s="64"/>
    </row>
    <row r="55" spans="1:15" s="68" customFormat="1" ht="18" customHeight="1">
      <c r="A55" s="207"/>
      <c r="D55" s="92"/>
      <c r="E55" s="68" t="s">
        <v>381</v>
      </c>
      <c r="F55" s="93"/>
      <c r="G55" s="94"/>
      <c r="H55" s="95"/>
      <c r="I55" s="96"/>
      <c r="J55" s="96"/>
      <c r="K55" s="97"/>
      <c r="N55" s="71"/>
      <c r="O55" s="64"/>
    </row>
    <row r="56" spans="1:15" s="68" customFormat="1" ht="18" customHeight="1">
      <c r="A56" s="207"/>
      <c r="D56" s="86" t="s">
        <v>382</v>
      </c>
      <c r="E56" s="87"/>
      <c r="F56" s="87"/>
      <c r="G56" s="88">
        <v>1</v>
      </c>
      <c r="H56" s="89"/>
      <c r="I56" s="90" t="str">
        <f>IFERROR(AVERAGEIF(H57:H64, "&lt;&gt;0"), "")</f>
        <v/>
      </c>
      <c r="J56" s="90"/>
      <c r="K56" s="91"/>
      <c r="N56" s="71"/>
      <c r="O56" s="64"/>
    </row>
    <row r="57" spans="1:15" s="68" customFormat="1" ht="18" customHeight="1">
      <c r="A57" s="207"/>
      <c r="D57" s="92"/>
      <c r="E57" s="68" t="s">
        <v>383</v>
      </c>
      <c r="F57" s="93"/>
      <c r="G57" s="94"/>
      <c r="H57" s="95"/>
      <c r="I57" s="96"/>
      <c r="J57" s="96"/>
      <c r="K57" s="97"/>
      <c r="N57" s="71"/>
      <c r="O57" s="64"/>
    </row>
    <row r="58" spans="1:15" s="68" customFormat="1" ht="18" customHeight="1">
      <c r="A58" s="207"/>
      <c r="D58" s="92"/>
      <c r="E58" s="68" t="s">
        <v>384</v>
      </c>
      <c r="F58" s="93"/>
      <c r="G58" s="94"/>
      <c r="H58" s="95"/>
      <c r="I58" s="96"/>
      <c r="J58" s="96"/>
      <c r="K58" s="97"/>
      <c r="N58" s="71"/>
      <c r="O58" s="64"/>
    </row>
    <row r="59" spans="1:15" s="68" customFormat="1" ht="18" customHeight="1">
      <c r="A59" s="207"/>
      <c r="D59" s="92"/>
      <c r="E59" s="68" t="s">
        <v>385</v>
      </c>
      <c r="F59" s="93"/>
      <c r="G59" s="94"/>
      <c r="H59" s="95"/>
      <c r="I59" s="96"/>
      <c r="J59" s="96"/>
      <c r="K59" s="97"/>
      <c r="N59" s="71"/>
      <c r="O59" s="64"/>
    </row>
    <row r="60" spans="1:15" s="68" customFormat="1" ht="18" customHeight="1">
      <c r="A60" s="207"/>
      <c r="D60" s="92"/>
      <c r="E60" s="68" t="s">
        <v>386</v>
      </c>
      <c r="F60" s="93"/>
      <c r="G60" s="94"/>
      <c r="H60" s="95"/>
      <c r="I60" s="96"/>
      <c r="J60" s="96"/>
      <c r="K60" s="97"/>
      <c r="N60" s="71"/>
      <c r="O60" s="64"/>
    </row>
    <row r="61" spans="1:15" s="68" customFormat="1" ht="18" customHeight="1">
      <c r="A61" s="207"/>
      <c r="D61" s="92"/>
      <c r="E61" s="68" t="s">
        <v>387</v>
      </c>
      <c r="F61" s="93"/>
      <c r="G61" s="94"/>
      <c r="H61" s="95"/>
      <c r="I61" s="96"/>
      <c r="J61" s="96"/>
      <c r="K61" s="97"/>
      <c r="N61" s="71"/>
      <c r="O61" s="64"/>
    </row>
    <row r="62" spans="1:15" s="68" customFormat="1" ht="18" customHeight="1">
      <c r="A62" s="207"/>
      <c r="D62" s="92"/>
      <c r="E62" s="68" t="s">
        <v>388</v>
      </c>
      <c r="F62" s="93"/>
      <c r="G62" s="94"/>
      <c r="H62" s="95"/>
      <c r="I62" s="96"/>
      <c r="J62" s="96"/>
      <c r="K62" s="97"/>
      <c r="N62" s="71"/>
      <c r="O62" s="64"/>
    </row>
    <row r="63" spans="1:15" s="68" customFormat="1" ht="18" customHeight="1">
      <c r="A63" s="207"/>
      <c r="D63" s="92"/>
      <c r="E63" s="68" t="s">
        <v>389</v>
      </c>
      <c r="F63" s="93"/>
      <c r="G63" s="94"/>
      <c r="H63" s="95"/>
      <c r="I63" s="96"/>
      <c r="J63" s="96"/>
      <c r="K63" s="97"/>
      <c r="N63" s="71"/>
      <c r="O63" s="64"/>
    </row>
    <row r="64" spans="1:15" s="68" customFormat="1" ht="18" customHeight="1">
      <c r="A64" s="207"/>
      <c r="D64" s="92"/>
      <c r="E64" s="68" t="s">
        <v>390</v>
      </c>
      <c r="F64" s="93"/>
      <c r="G64" s="94"/>
      <c r="H64" s="95"/>
      <c r="I64" s="96"/>
      <c r="J64" s="96"/>
      <c r="K64" s="97"/>
      <c r="N64" s="71"/>
      <c r="O64" s="64"/>
    </row>
    <row r="65" spans="1:15" s="68" customFormat="1" ht="18" customHeight="1">
      <c r="A65" s="207"/>
      <c r="E65" s="71" t="s">
        <v>391</v>
      </c>
      <c r="F65" s="93"/>
      <c r="G65" s="94"/>
      <c r="H65" s="95"/>
      <c r="I65" s="96"/>
      <c r="J65" s="96"/>
      <c r="K65" s="97"/>
      <c r="N65" s="71"/>
      <c r="O65" s="64"/>
    </row>
    <row r="66" spans="1:15" ht="14.25" customHeight="1">
      <c r="H66" s="100"/>
      <c r="I66" s="100"/>
      <c r="J66" s="100"/>
    </row>
    <row r="67" spans="1:15" ht="14.25" customHeight="1">
      <c r="H67" s="100"/>
      <c r="I67" s="100"/>
      <c r="J67" s="100"/>
    </row>
    <row r="68" spans="1:15" ht="14.25" customHeight="1">
      <c r="H68" s="100"/>
      <c r="I68" s="100"/>
      <c r="J68" s="100"/>
    </row>
    <row r="69" spans="1:15" ht="14.25" customHeight="1">
      <c r="H69" s="100"/>
      <c r="I69" s="100"/>
      <c r="J69" s="100"/>
    </row>
    <row r="70" spans="1:15" ht="14.25" customHeight="1">
      <c r="H70" s="100"/>
      <c r="I70" s="100"/>
      <c r="J70" s="100"/>
    </row>
    <row r="71" spans="1:15" ht="14.25" customHeight="1">
      <c r="H71" s="100"/>
      <c r="I71" s="100"/>
      <c r="J71" s="100"/>
    </row>
    <row r="72" spans="1:15" ht="14.25" customHeight="1">
      <c r="H72" s="100"/>
      <c r="I72" s="100"/>
      <c r="J72" s="100"/>
    </row>
    <row r="73" spans="1:15" ht="14.25" customHeight="1">
      <c r="H73" s="100"/>
      <c r="I73" s="100"/>
      <c r="J73" s="100"/>
    </row>
    <row r="74" spans="1:15" ht="14.25" customHeight="1">
      <c r="H74" s="100"/>
      <c r="I74" s="100"/>
      <c r="J74" s="100"/>
    </row>
    <row r="75" spans="1:15" ht="14.25" customHeight="1">
      <c r="H75" s="100"/>
      <c r="I75" s="100"/>
      <c r="J75" s="100"/>
    </row>
    <row r="76" spans="1:15" ht="14.25" customHeight="1">
      <c r="H76" s="100"/>
      <c r="I76" s="100"/>
      <c r="J76" s="100"/>
    </row>
    <row r="77" spans="1:15" ht="14.25" customHeight="1">
      <c r="H77" s="100"/>
      <c r="I77" s="100"/>
      <c r="J77" s="100"/>
    </row>
    <row r="78" spans="1:15" ht="14.25" customHeight="1">
      <c r="H78" s="100"/>
      <c r="I78" s="100"/>
      <c r="J78" s="100"/>
    </row>
    <row r="79" spans="1:15" ht="14.25" customHeight="1">
      <c r="H79" s="100"/>
      <c r="I79" s="100"/>
      <c r="J79" s="100"/>
    </row>
    <row r="80" spans="1:15" ht="14.25" customHeight="1">
      <c r="H80" s="100"/>
      <c r="I80" s="100"/>
      <c r="J80" s="100"/>
    </row>
    <row r="81" spans="8:10" ht="14.25" customHeight="1">
      <c r="H81" s="100"/>
      <c r="I81" s="100"/>
      <c r="J81" s="100"/>
    </row>
    <row r="82" spans="8:10" ht="14.25" customHeight="1">
      <c r="H82" s="100"/>
      <c r="I82" s="100"/>
      <c r="J82" s="100"/>
    </row>
    <row r="83" spans="8:10" ht="14.25" customHeight="1">
      <c r="H83" s="100"/>
      <c r="I83" s="100"/>
      <c r="J83" s="100"/>
    </row>
    <row r="84" spans="8:10" ht="14.25" customHeight="1">
      <c r="H84" s="100"/>
      <c r="I84" s="100"/>
      <c r="J84" s="100"/>
    </row>
    <row r="85" spans="8:10" ht="14.25" customHeight="1">
      <c r="H85" s="100"/>
      <c r="I85" s="100"/>
      <c r="J85" s="100"/>
    </row>
    <row r="86" spans="8:10" ht="14.25" customHeight="1">
      <c r="H86" s="100"/>
      <c r="I86" s="100"/>
      <c r="J86" s="100"/>
    </row>
    <row r="87" spans="8:10" ht="14.25" customHeight="1">
      <c r="H87" s="100"/>
      <c r="I87" s="100"/>
      <c r="J87" s="100"/>
    </row>
    <row r="88" spans="8:10" ht="14.25" customHeight="1">
      <c r="H88" s="100"/>
      <c r="I88" s="100"/>
      <c r="J88" s="100"/>
    </row>
    <row r="89" spans="8:10" ht="14.25" customHeight="1">
      <c r="H89" s="100"/>
      <c r="I89" s="100"/>
      <c r="J89" s="100"/>
    </row>
    <row r="90" spans="8:10" ht="14.25" customHeight="1">
      <c r="H90" s="100"/>
      <c r="I90" s="100"/>
      <c r="J90" s="100"/>
    </row>
    <row r="91" spans="8:10" ht="14.25" customHeight="1">
      <c r="H91" s="100"/>
      <c r="I91" s="100"/>
      <c r="J91" s="100"/>
    </row>
    <row r="92" spans="8:10" ht="14.25" customHeight="1">
      <c r="H92" s="100"/>
      <c r="I92" s="100"/>
      <c r="J92" s="100"/>
    </row>
    <row r="93" spans="8:10" ht="14.25" customHeight="1">
      <c r="H93" s="100"/>
      <c r="I93" s="100"/>
      <c r="J93" s="100"/>
    </row>
    <row r="94" spans="8:10" ht="14.25" customHeight="1">
      <c r="H94" s="100"/>
      <c r="I94" s="100"/>
      <c r="J94" s="100"/>
    </row>
    <row r="95" spans="8:10" ht="14.25" customHeight="1">
      <c r="H95" s="100"/>
      <c r="I95" s="100"/>
      <c r="J95" s="100"/>
    </row>
    <row r="96" spans="8:10" ht="14.25" customHeight="1">
      <c r="H96" s="100"/>
      <c r="I96" s="100"/>
      <c r="J96" s="100"/>
    </row>
    <row r="97" spans="8:10" ht="14.25" customHeight="1">
      <c r="H97" s="100"/>
      <c r="I97" s="100"/>
      <c r="J97" s="100"/>
    </row>
    <row r="98" spans="8:10" ht="14.25" customHeight="1">
      <c r="H98" s="100"/>
      <c r="I98" s="100"/>
      <c r="J98" s="100"/>
    </row>
    <row r="99" spans="8:10" ht="14.25" customHeight="1">
      <c r="H99" s="100"/>
      <c r="I99" s="100"/>
      <c r="J99" s="100"/>
    </row>
    <row r="100" spans="8:10" ht="14.25" customHeight="1">
      <c r="H100" s="100"/>
      <c r="I100" s="100"/>
      <c r="J100" s="100"/>
    </row>
    <row r="101" spans="8:10" ht="14.25" customHeight="1">
      <c r="H101" s="100"/>
      <c r="I101" s="100"/>
      <c r="J101" s="100"/>
    </row>
    <row r="102" spans="8:10" ht="14.25" customHeight="1">
      <c r="H102" s="100"/>
      <c r="I102" s="100"/>
      <c r="J102" s="100"/>
    </row>
    <row r="103" spans="8:10" ht="14.25" customHeight="1">
      <c r="H103" s="100"/>
      <c r="I103" s="100"/>
      <c r="J103" s="100"/>
    </row>
    <row r="104" spans="8:10" ht="14.25" customHeight="1">
      <c r="H104" s="100"/>
      <c r="I104" s="100"/>
      <c r="J104" s="100"/>
    </row>
    <row r="105" spans="8:10" ht="14.25" customHeight="1">
      <c r="H105" s="100"/>
      <c r="I105" s="100"/>
      <c r="J105" s="100"/>
    </row>
    <row r="106" spans="8:10" ht="14.25" customHeight="1">
      <c r="H106" s="100"/>
      <c r="I106" s="100"/>
      <c r="J106" s="100"/>
    </row>
    <row r="107" spans="8:10" ht="14.25" customHeight="1">
      <c r="H107" s="100"/>
      <c r="I107" s="100"/>
      <c r="J107" s="100"/>
    </row>
    <row r="108" spans="8:10" ht="14.25" customHeight="1">
      <c r="H108" s="100"/>
      <c r="I108" s="100"/>
      <c r="J108" s="100"/>
    </row>
    <row r="109" spans="8:10" ht="14.25" customHeight="1">
      <c r="H109" s="100"/>
      <c r="I109" s="100"/>
      <c r="J109" s="100"/>
    </row>
    <row r="110" spans="8:10" ht="14.25" customHeight="1">
      <c r="H110" s="100"/>
      <c r="I110" s="100"/>
      <c r="J110" s="100"/>
    </row>
    <row r="111" spans="8:10" ht="14.25" customHeight="1">
      <c r="H111" s="100"/>
      <c r="I111" s="100"/>
      <c r="J111" s="100"/>
    </row>
    <row r="112" spans="8:10" ht="14.25" customHeight="1">
      <c r="H112" s="100"/>
      <c r="I112" s="100"/>
      <c r="J112" s="100"/>
    </row>
    <row r="113" spans="8:10" ht="14.25" customHeight="1">
      <c r="H113" s="100"/>
      <c r="I113" s="100"/>
      <c r="J113" s="100"/>
    </row>
    <row r="114" spans="8:10" ht="14.25" customHeight="1">
      <c r="H114" s="100"/>
      <c r="I114" s="100"/>
      <c r="J114" s="100"/>
    </row>
    <row r="115" spans="8:10" ht="14.25" customHeight="1">
      <c r="H115" s="100"/>
      <c r="I115" s="100"/>
      <c r="J115" s="100"/>
    </row>
    <row r="116" spans="8:10" ht="14.25" customHeight="1">
      <c r="H116" s="100"/>
      <c r="I116" s="100"/>
      <c r="J116" s="100"/>
    </row>
    <row r="117" spans="8:10" ht="14.25" customHeight="1">
      <c r="H117" s="100"/>
      <c r="I117" s="100"/>
      <c r="J117" s="100"/>
    </row>
    <row r="118" spans="8:10" ht="14.25" customHeight="1">
      <c r="H118" s="100"/>
      <c r="I118" s="100"/>
      <c r="J118" s="100"/>
    </row>
    <row r="119" spans="8:10" ht="14.25" customHeight="1">
      <c r="H119" s="100"/>
      <c r="I119" s="100"/>
      <c r="J119" s="100"/>
    </row>
  </sheetData>
  <mergeCells count="7">
    <mergeCell ref="C3:D5"/>
    <mergeCell ref="E4:K5"/>
    <mergeCell ref="F6:F9"/>
    <mergeCell ref="G6:G9"/>
    <mergeCell ref="H6:H9"/>
    <mergeCell ref="I6:I9"/>
    <mergeCell ref="J6:J9"/>
  </mergeCells>
  <conditionalFormatting sqref="H1:H3 H6:H1048576">
    <cfRule type="cellIs" dxfId="21" priority="45" operator="equal">
      <formula>5</formula>
    </cfRule>
    <cfRule type="cellIs" dxfId="20" priority="46" operator="equal">
      <formula>4</formula>
    </cfRule>
    <cfRule type="cellIs" dxfId="19" priority="47" operator="equal">
      <formula>3</formula>
    </cfRule>
    <cfRule type="cellIs" dxfId="18" priority="48" operator="equal">
      <formula>2</formula>
    </cfRule>
    <cfRule type="cellIs" dxfId="17" priority="49" operator="equal">
      <formula>1</formula>
    </cfRule>
  </conditionalFormatting>
  <conditionalFormatting sqref="I1:J3 I6:J10 I11 I12:J19 I20 I21:J42 I43 I44:J1048576">
    <cfRule type="cellIs" dxfId="16" priority="40" operator="between">
      <formula>4.5</formula>
      <formula>5</formula>
    </cfRule>
    <cfRule type="cellIs" dxfId="15" priority="41" operator="between">
      <formula>3.5</formula>
      <formula>4.5</formula>
    </cfRule>
    <cfRule type="cellIs" dxfId="14" priority="42" operator="between">
      <formula>2.5</formula>
      <formula>3.5</formula>
    </cfRule>
    <cfRule type="cellIs" dxfId="13" priority="43" operator="between">
      <formula>1.5</formula>
      <formula>2.5</formula>
    </cfRule>
    <cfRule type="cellIs" dxfId="12" priority="44" operator="between">
      <formula>1</formula>
      <formula>1.5</formula>
    </cfRule>
  </conditionalFormatting>
  <conditionalFormatting sqref="O7">
    <cfRule type="cellIs" dxfId="11" priority="29" operator="lessThan">
      <formula>0</formula>
    </cfRule>
    <cfRule type="cellIs" dxfId="10" priority="30" operator="greaterThan">
      <formula>0</formula>
    </cfRule>
  </conditionalFormatting>
  <conditionalFormatting sqref="O5">
    <cfRule type="cellIs" dxfId="9" priority="8" operator="greaterThan">
      <formula>1</formula>
    </cfRule>
  </conditionalFormatting>
  <conditionalFormatting sqref="O5:O6">
    <cfRule type="cellIs" dxfId="8" priority="6" operator="lessThan">
      <formula>0</formula>
    </cfRule>
    <cfRule type="cellIs" dxfId="7" priority="7" operator="greaterThan">
      <formula>0</formula>
    </cfRule>
  </conditionalFormatting>
  <conditionalFormatting sqref="C3">
    <cfRule type="cellIs" dxfId="6" priority="1" operator="greaterThan">
      <formula>1.1</formula>
    </cfRule>
    <cfRule type="cellIs" dxfId="5" priority="2" operator="between">
      <formula>0.9</formula>
      <formula>1.1</formula>
    </cfRule>
    <cfRule type="cellIs" dxfId="4" priority="3" operator="between">
      <formula>0.8</formula>
      <formula>0.9</formula>
    </cfRule>
    <cfRule type="cellIs" dxfId="3" priority="4" operator="lessThan">
      <formula>0.8</formula>
    </cfRule>
  </conditionalFormatting>
  <dataValidations count="1">
    <dataValidation type="whole" allowBlank="1" showInputMessage="1" showErrorMessage="1" sqref="H11:H121" xr:uid="{AE1DFCB3-64CB-FA4C-AD9A-716EC2BC3018}">
      <formula1>1</formula1>
      <formula2>5</formula2>
    </dataValidation>
  </dataValidations>
  <pageMargins left="0.25" right="0.25" top="0.75" bottom="0.75" header="0.3" footer="0.3"/>
  <pageSetup paperSize="9" scale="4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F0DDD-B780-40F8-B0F0-747FCE3EA18D}">
  <sheetPr>
    <tabColor rgb="FFFFDBDB"/>
    <pageSetUpPr fitToPage="1"/>
  </sheetPr>
  <dimension ref="A1:F71"/>
  <sheetViews>
    <sheetView topLeftCell="A23" zoomScale="76" zoomScaleNormal="100" workbookViewId="0"/>
  </sheetViews>
  <sheetFormatPr defaultColWidth="9.140625" defaultRowHeight="14.25" customHeight="1"/>
  <cols>
    <col min="1" max="1" width="3.5703125" style="186" customWidth="1"/>
    <col min="2" max="2" width="3.5703125" style="53" customWidth="1"/>
    <col min="3" max="3" width="70.28515625" style="53" customWidth="1"/>
    <col min="4" max="4" width="12" style="53" customWidth="1"/>
    <col min="5" max="5" width="84.42578125" style="53" customWidth="1"/>
    <col min="6" max="6" width="3.5703125" style="53" customWidth="1"/>
    <col min="7" max="7" width="10.5703125" style="53" customWidth="1"/>
    <col min="8" max="16382" width="9.140625" style="53"/>
    <col min="16383" max="16383" width="9.140625" style="53" bestFit="1" customWidth="1"/>
    <col min="16384" max="16384" width="9.140625" style="53"/>
  </cols>
  <sheetData>
    <row r="1" spans="1:6" s="49" customFormat="1" ht="26.1" customHeight="1">
      <c r="A1" s="183"/>
      <c r="B1" s="183"/>
      <c r="C1" s="184" t="s">
        <v>392</v>
      </c>
      <c r="D1" s="183"/>
      <c r="E1" s="185" t="str">
        <f>_xlfn.CONCAT(Synthèse!C1, " // Cours JS")</f>
        <v>Kangourou / Toto Tutu // Cours JS</v>
      </c>
      <c r="F1" s="185"/>
    </row>
    <row r="3" spans="1:6" ht="14.45">
      <c r="C3" s="187" t="s">
        <v>393</v>
      </c>
      <c r="D3" s="151"/>
      <c r="E3" s="62" t="s">
        <v>48</v>
      </c>
    </row>
    <row r="4" spans="1:6" ht="14.45">
      <c r="C4" s="316"/>
      <c r="D4" s="317"/>
      <c r="E4" s="318"/>
    </row>
    <row r="5" spans="1:6" ht="14.45">
      <c r="C5" s="319"/>
      <c r="D5" s="320"/>
      <c r="E5" s="321"/>
    </row>
    <row r="6" spans="1:6" ht="14.45">
      <c r="C6" s="66"/>
      <c r="D6" s="66"/>
      <c r="E6" s="66"/>
    </row>
    <row r="7" spans="1:6" s="68" customFormat="1" ht="18" customHeight="1">
      <c r="A7" s="188"/>
      <c r="C7" s="189" t="s">
        <v>394</v>
      </c>
      <c r="D7" s="155" t="s">
        <v>395</v>
      </c>
      <c r="E7" s="76" t="s">
        <v>396</v>
      </c>
    </row>
    <row r="8" spans="1:6" s="68" customFormat="1" ht="18" customHeight="1">
      <c r="A8" s="188"/>
      <c r="C8" s="190" t="s">
        <v>397</v>
      </c>
      <c r="D8" s="191"/>
      <c r="E8" s="192"/>
    </row>
    <row r="9" spans="1:6" s="68" customFormat="1" ht="54" customHeight="1">
      <c r="A9" s="188"/>
      <c r="C9" s="193" t="s">
        <v>398</v>
      </c>
      <c r="D9" s="194" t="s">
        <v>399</v>
      </c>
      <c r="E9" s="195"/>
    </row>
    <row r="10" spans="1:6" s="68" customFormat="1" ht="18" customHeight="1">
      <c r="A10" s="188"/>
      <c r="C10" s="190" t="s">
        <v>400</v>
      </c>
      <c r="D10" s="196"/>
      <c r="E10" s="197"/>
    </row>
    <row r="11" spans="1:6" s="68" customFormat="1" ht="18" customHeight="1">
      <c r="A11" s="188"/>
      <c r="C11" s="193" t="s">
        <v>401</v>
      </c>
      <c r="D11" s="194" t="s">
        <v>399</v>
      </c>
      <c r="E11" s="195"/>
    </row>
    <row r="12" spans="1:6" s="68" customFormat="1" ht="54" customHeight="1">
      <c r="A12" s="188"/>
      <c r="C12" s="193" t="s">
        <v>402</v>
      </c>
      <c r="D12" s="194" t="s">
        <v>399</v>
      </c>
      <c r="E12" s="195"/>
    </row>
    <row r="13" spans="1:6" s="68" customFormat="1" ht="18" customHeight="1">
      <c r="A13" s="188"/>
      <c r="C13" s="193" t="s">
        <v>403</v>
      </c>
      <c r="D13" s="194" t="s">
        <v>399</v>
      </c>
      <c r="E13" s="195"/>
    </row>
    <row r="14" spans="1:6" s="68" customFormat="1" ht="18" customHeight="1">
      <c r="A14" s="188"/>
      <c r="C14" s="190" t="s">
        <v>404</v>
      </c>
      <c r="D14" s="196"/>
      <c r="E14" s="197"/>
    </row>
    <row r="15" spans="1:6" s="68" customFormat="1" ht="36" customHeight="1">
      <c r="A15" s="188"/>
      <c r="C15" s="193" t="s">
        <v>405</v>
      </c>
      <c r="D15" s="194" t="s">
        <v>399</v>
      </c>
      <c r="E15" s="195"/>
    </row>
    <row r="16" spans="1:6" s="68" customFormat="1" ht="54" customHeight="1">
      <c r="A16" s="188"/>
      <c r="C16" s="193" t="s">
        <v>406</v>
      </c>
      <c r="D16" s="194" t="s">
        <v>399</v>
      </c>
      <c r="E16" s="195"/>
    </row>
    <row r="17" spans="1:5" s="68" customFormat="1" ht="18" customHeight="1">
      <c r="A17" s="188"/>
      <c r="C17" s="190" t="s">
        <v>407</v>
      </c>
      <c r="D17" s="196"/>
      <c r="E17" s="197"/>
    </row>
    <row r="18" spans="1:5" s="68" customFormat="1" ht="66" customHeight="1">
      <c r="A18" s="188"/>
      <c r="C18" s="193" t="s">
        <v>408</v>
      </c>
      <c r="D18" s="194" t="s">
        <v>399</v>
      </c>
      <c r="E18" s="195"/>
    </row>
    <row r="19" spans="1:5" s="68" customFormat="1" ht="18" customHeight="1">
      <c r="A19" s="188"/>
      <c r="C19" s="190" t="s">
        <v>409</v>
      </c>
      <c r="D19" s="196"/>
      <c r="E19" s="197"/>
    </row>
    <row r="20" spans="1:5" s="68" customFormat="1" ht="42" customHeight="1">
      <c r="A20" s="188"/>
      <c r="C20" s="193" t="s">
        <v>410</v>
      </c>
      <c r="D20" s="194" t="s">
        <v>399</v>
      </c>
      <c r="E20" s="195"/>
    </row>
    <row r="21" spans="1:5" s="68" customFormat="1" ht="39.950000000000003" customHeight="1">
      <c r="A21" s="188"/>
      <c r="C21" s="193" t="s">
        <v>411</v>
      </c>
      <c r="D21" s="194" t="s">
        <v>399</v>
      </c>
      <c r="E21" s="195"/>
    </row>
    <row r="22" spans="1:5" s="68" customFormat="1" ht="18" customHeight="1">
      <c r="A22" s="188"/>
      <c r="C22" s="193" t="s">
        <v>412</v>
      </c>
      <c r="D22" s="194" t="s">
        <v>399</v>
      </c>
      <c r="E22" s="195"/>
    </row>
    <row r="23" spans="1:5" s="68" customFormat="1" ht="77.099999999999994" customHeight="1">
      <c r="A23" s="188"/>
      <c r="C23" s="193" t="s">
        <v>413</v>
      </c>
      <c r="D23" s="194" t="s">
        <v>399</v>
      </c>
      <c r="E23" s="195"/>
    </row>
    <row r="24" spans="1:5" s="68" customFormat="1" ht="18" customHeight="1">
      <c r="A24" s="188"/>
      <c r="C24" s="190" t="s">
        <v>414</v>
      </c>
      <c r="D24" s="196"/>
      <c r="E24" s="197"/>
    </row>
    <row r="25" spans="1:5" s="68" customFormat="1" ht="38.1" customHeight="1">
      <c r="A25" s="188"/>
      <c r="C25" s="193" t="s">
        <v>415</v>
      </c>
      <c r="D25" s="194" t="s">
        <v>399</v>
      </c>
      <c r="E25" s="195"/>
    </row>
    <row r="26" spans="1:5" s="68" customFormat="1" ht="38.1" customHeight="1">
      <c r="A26" s="188"/>
      <c r="C26" s="198" t="s">
        <v>416</v>
      </c>
      <c r="D26" s="199" t="s">
        <v>399</v>
      </c>
      <c r="E26" s="200"/>
    </row>
    <row r="27" spans="1:5" s="68" customFormat="1" ht="18" customHeight="1">
      <c r="A27" s="188"/>
      <c r="C27" s="201"/>
    </row>
    <row r="28" spans="1:5" s="68" customFormat="1" ht="18" customHeight="1">
      <c r="A28" s="188"/>
      <c r="C28" s="157"/>
      <c r="D28" s="157"/>
      <c r="E28" s="157"/>
    </row>
    <row r="29" spans="1:5" s="68" customFormat="1" ht="18" customHeight="1">
      <c r="A29" s="188"/>
      <c r="C29" s="157"/>
      <c r="D29" s="157"/>
      <c r="E29" s="157"/>
    </row>
    <row r="30" spans="1:5" s="68" customFormat="1" ht="18" customHeight="1">
      <c r="A30" s="188"/>
      <c r="C30" s="157"/>
      <c r="D30" s="157"/>
      <c r="E30" s="157"/>
    </row>
    <row r="31" spans="1:5" s="68" customFormat="1" ht="18" customHeight="1">
      <c r="A31" s="188"/>
      <c r="C31" s="157"/>
      <c r="D31" s="157"/>
      <c r="E31" s="157"/>
    </row>
    <row r="32" spans="1:5" s="68" customFormat="1" ht="18" customHeight="1">
      <c r="A32" s="188"/>
      <c r="E32" s="157"/>
    </row>
    <row r="33" spans="1:5" s="68" customFormat="1" ht="18" customHeight="1">
      <c r="A33" s="188"/>
      <c r="E33" s="157"/>
    </row>
    <row r="34" spans="1:5" s="68" customFormat="1" ht="18" customHeight="1">
      <c r="A34" s="188"/>
      <c r="E34" s="157"/>
    </row>
    <row r="35" spans="1:5" s="68" customFormat="1" ht="18" customHeight="1">
      <c r="A35" s="188"/>
      <c r="C35" s="166"/>
      <c r="D35" s="166"/>
      <c r="E35" s="157"/>
    </row>
    <row r="36" spans="1:5" s="68" customFormat="1" ht="18" customHeight="1">
      <c r="A36" s="188"/>
      <c r="E36" s="157"/>
    </row>
    <row r="37" spans="1:5" s="68" customFormat="1" ht="18" customHeight="1">
      <c r="A37" s="188"/>
      <c r="E37" s="157"/>
    </row>
    <row r="38" spans="1:5" s="68" customFormat="1" ht="18" customHeight="1">
      <c r="A38" s="188"/>
      <c r="E38" s="157"/>
    </row>
    <row r="39" spans="1:5" s="68" customFormat="1" ht="18" customHeight="1">
      <c r="A39" s="188"/>
      <c r="E39" s="157"/>
    </row>
    <row r="40" spans="1:5" s="68" customFormat="1" ht="18" customHeight="1">
      <c r="A40" s="188"/>
      <c r="C40" s="166"/>
      <c r="D40" s="166"/>
      <c r="E40" s="157"/>
    </row>
    <row r="41" spans="1:5" s="68" customFormat="1" ht="18" customHeight="1">
      <c r="A41" s="188"/>
    </row>
    <row r="42" spans="1:5" s="68" customFormat="1" ht="18" customHeight="1">
      <c r="A42" s="188"/>
    </row>
    <row r="43" spans="1:5" s="68" customFormat="1" ht="18" customHeight="1">
      <c r="A43" s="188"/>
    </row>
    <row r="44" spans="1:5" s="68" customFormat="1" ht="18" customHeight="1">
      <c r="A44" s="188"/>
    </row>
    <row r="45" spans="1:5" s="68" customFormat="1" ht="18" customHeight="1">
      <c r="A45" s="188"/>
    </row>
    <row r="46" spans="1:5" s="68" customFormat="1" ht="18" customHeight="1">
      <c r="A46" s="188"/>
    </row>
    <row r="47" spans="1:5" s="68" customFormat="1" ht="18" customHeight="1">
      <c r="A47" s="188"/>
    </row>
    <row r="48" spans="1:5" s="68" customFormat="1" ht="18" customHeight="1">
      <c r="A48" s="188"/>
    </row>
    <row r="49" spans="1:1" s="68" customFormat="1" ht="18" customHeight="1">
      <c r="A49" s="188"/>
    </row>
    <row r="50" spans="1:1" s="68" customFormat="1" ht="18" customHeight="1">
      <c r="A50" s="188"/>
    </row>
    <row r="51" spans="1:1" s="68" customFormat="1" ht="18" customHeight="1">
      <c r="A51" s="188"/>
    </row>
    <row r="52" spans="1:1" s="68" customFormat="1" ht="18" customHeight="1">
      <c r="A52" s="188"/>
    </row>
    <row r="53" spans="1:1" s="68" customFormat="1" ht="18" customHeight="1">
      <c r="A53" s="188"/>
    </row>
    <row r="54" spans="1:1" s="68" customFormat="1" ht="18" customHeight="1">
      <c r="A54" s="188"/>
    </row>
    <row r="55" spans="1:1" s="68" customFormat="1" ht="18" customHeight="1">
      <c r="A55" s="188"/>
    </row>
    <row r="56" spans="1:1" s="68" customFormat="1" ht="18" customHeight="1">
      <c r="A56" s="188"/>
    </row>
    <row r="57" spans="1:1" s="68" customFormat="1" ht="18" customHeight="1">
      <c r="A57" s="188"/>
    </row>
    <row r="58" spans="1:1" s="68" customFormat="1" ht="18" customHeight="1">
      <c r="A58" s="188"/>
    </row>
    <row r="59" spans="1:1" s="68" customFormat="1" ht="18" customHeight="1">
      <c r="A59" s="188"/>
    </row>
    <row r="60" spans="1:1" s="68" customFormat="1" ht="18" customHeight="1">
      <c r="A60" s="188"/>
    </row>
    <row r="61" spans="1:1" s="68" customFormat="1" ht="18" customHeight="1">
      <c r="A61" s="188"/>
    </row>
    <row r="62" spans="1:1" s="68" customFormat="1" ht="18" customHeight="1">
      <c r="A62" s="188"/>
    </row>
    <row r="63" spans="1:1" s="68" customFormat="1" ht="18" customHeight="1">
      <c r="A63" s="188"/>
    </row>
    <row r="64" spans="1:1" s="68" customFormat="1" ht="18" customHeight="1">
      <c r="A64" s="188"/>
    </row>
    <row r="65" spans="1:1" s="68" customFormat="1" ht="18" customHeight="1">
      <c r="A65" s="188"/>
    </row>
    <row r="66" spans="1:1" s="68" customFormat="1" ht="18" customHeight="1">
      <c r="A66" s="188"/>
    </row>
    <row r="67" spans="1:1" s="68" customFormat="1" ht="18" customHeight="1">
      <c r="A67" s="188"/>
    </row>
    <row r="68" spans="1:1" s="68" customFormat="1" ht="18" customHeight="1">
      <c r="A68" s="188"/>
    </row>
    <row r="69" spans="1:1" s="68" customFormat="1" ht="18" customHeight="1">
      <c r="A69" s="188"/>
    </row>
    <row r="70" spans="1:1" s="68" customFormat="1" ht="18" customHeight="1">
      <c r="A70" s="188"/>
    </row>
    <row r="71" spans="1:1" s="68" customFormat="1" ht="18" customHeight="1">
      <c r="A71" s="188"/>
    </row>
  </sheetData>
  <sheetProtection sheet="1" selectLockedCells="1"/>
  <mergeCells count="1">
    <mergeCell ref="C4:E5"/>
  </mergeCells>
  <conditionalFormatting sqref="D9:D26">
    <cfRule type="cellIs" dxfId="2" priority="1" operator="equal">
      <formula>"NON"</formula>
    </cfRule>
    <cfRule type="cellIs" dxfId="1" priority="2" operator="equal">
      <formula>"OUI"</formula>
    </cfRule>
  </conditionalFormatting>
  <pageMargins left="0.25" right="0.25" top="0.75" bottom="0.75" header="0.3" footer="0.3"/>
  <pageSetup paperSize="9" scale="6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1F7B9897-453A-466E-B578-8EC0B0D59784}">
          <x14:formula1>
            <xm:f>Listes!$A$2:$A$3</xm:f>
          </x14:formula1>
          <xm:sqref>D9:D26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02FB9-7953-4243-A4E8-186A77BFC07D}">
  <sheetPr>
    <tabColor rgb="FFF2F2F2"/>
  </sheetPr>
  <dimension ref="A1:F12"/>
  <sheetViews>
    <sheetView topLeftCell="A3" zoomScaleNormal="100" workbookViewId="0">
      <selection activeCell="D8" sqref="D8"/>
    </sheetView>
  </sheetViews>
  <sheetFormatPr defaultColWidth="9.140625" defaultRowHeight="14.1"/>
  <cols>
    <col min="1" max="1" width="3.5703125" style="6" customWidth="1"/>
    <col min="2" max="2" width="3.5703125" style="1" customWidth="1"/>
    <col min="3" max="3" width="9.140625" style="1"/>
    <col min="4" max="4" width="85.140625" style="1" customWidth="1"/>
    <col min="5" max="5" width="3.5703125" style="1" customWidth="1"/>
    <col min="6" max="16384" width="9.140625" style="1"/>
  </cols>
  <sheetData>
    <row r="1" spans="2:6" ht="20.100000000000001">
      <c r="B1" s="6"/>
      <c r="C1" s="7" t="s">
        <v>417</v>
      </c>
      <c r="D1" s="6"/>
      <c r="E1" s="6"/>
    </row>
    <row r="3" spans="2:6" ht="45" customHeight="1">
      <c r="C3" s="322" t="s">
        <v>418</v>
      </c>
      <c r="D3" s="322"/>
    </row>
    <row r="5" spans="2:6" ht="34.5" customHeight="1">
      <c r="C5" s="322" t="s">
        <v>419</v>
      </c>
      <c r="D5" s="322"/>
    </row>
    <row r="7" spans="2:6" ht="44.25" customHeight="1">
      <c r="C7" s="16"/>
      <c r="D7" s="17" t="s">
        <v>420</v>
      </c>
    </row>
    <row r="8" spans="2:6" ht="44.25" customHeight="1">
      <c r="C8" s="8">
        <v>1</v>
      </c>
      <c r="D8" s="36" t="s">
        <v>421</v>
      </c>
    </row>
    <row r="9" spans="2:6" ht="44.25" customHeight="1">
      <c r="C9" s="9">
        <v>2</v>
      </c>
      <c r="D9" s="18" t="s">
        <v>422</v>
      </c>
    </row>
    <row r="10" spans="2:6" ht="44.25" customHeight="1">
      <c r="C10" s="10">
        <v>3</v>
      </c>
      <c r="D10" s="18" t="s">
        <v>423</v>
      </c>
    </row>
    <row r="11" spans="2:6" ht="44.25" customHeight="1">
      <c r="C11" s="11">
        <v>4</v>
      </c>
      <c r="D11" s="18" t="s">
        <v>424</v>
      </c>
    </row>
    <row r="12" spans="2:6" ht="44.25" customHeight="1">
      <c r="C12" s="12">
        <v>5</v>
      </c>
      <c r="D12" s="19" t="s">
        <v>425</v>
      </c>
      <c r="F12" s="2"/>
    </row>
  </sheetData>
  <sheetProtection sheet="1" objects="1" scenarios="1"/>
  <mergeCells count="2">
    <mergeCell ref="C3:D3"/>
    <mergeCell ref="C5:D5"/>
  </mergeCells>
  <pageMargins left="0.7" right="0.7" top="0.75" bottom="0.75" header="0.3" footer="0.3"/>
  <pageSetup paperSize="9" scale="8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8EFF-8899-4843-BF5E-E16380E329CA}">
  <dimension ref="A2:J58"/>
  <sheetViews>
    <sheetView zoomScaleNormal="100" workbookViewId="0"/>
  </sheetViews>
  <sheetFormatPr defaultColWidth="9.140625" defaultRowHeight="14.1"/>
  <cols>
    <col min="1" max="8" width="10.5703125" style="1" customWidth="1"/>
    <col min="9" max="16384" width="9.140625" style="1"/>
  </cols>
  <sheetData>
    <row r="2" spans="1:10" ht="90" customHeight="1">
      <c r="J2" s="1" t="s">
        <v>426</v>
      </c>
    </row>
    <row r="3" spans="1:10" ht="22.35" customHeight="1">
      <c r="J3" s="1" t="s">
        <v>427</v>
      </c>
    </row>
    <row r="4" spans="1:10" ht="25.5" customHeight="1">
      <c r="A4" s="330" t="s">
        <v>428</v>
      </c>
      <c r="B4" s="330"/>
      <c r="C4" s="330"/>
      <c r="D4" s="330"/>
      <c r="E4" s="330"/>
      <c r="F4" s="330"/>
      <c r="G4" s="330"/>
      <c r="H4" s="330"/>
    </row>
    <row r="6" spans="1:10" s="2" customFormat="1" ht="15.95" customHeight="1"/>
    <row r="7" spans="1:10" s="2" customFormat="1" ht="15.95" customHeight="1">
      <c r="E7" s="38" t="s">
        <v>12</v>
      </c>
      <c r="F7" s="338" t="s">
        <v>429</v>
      </c>
      <c r="G7" s="338"/>
      <c r="H7" s="338"/>
    </row>
    <row r="8" spans="1:10" s="2" customFormat="1" ht="15.95" customHeight="1">
      <c r="E8" s="38" t="s">
        <v>430</v>
      </c>
      <c r="F8" s="39" t="s">
        <v>431</v>
      </c>
      <c r="G8" s="39"/>
      <c r="H8" s="39"/>
    </row>
    <row r="9" spans="1:10" s="2" customFormat="1" ht="15.95" customHeight="1"/>
    <row r="10" spans="1:10" s="2" customFormat="1" ht="15.95" customHeight="1">
      <c r="A10" s="2" t="s">
        <v>10</v>
      </c>
      <c r="B10" s="40" t="str">
        <f>Synthèse!D5</f>
        <v>Tutu</v>
      </c>
      <c r="C10" s="40"/>
      <c r="D10" s="40"/>
      <c r="E10" s="38" t="s">
        <v>4</v>
      </c>
      <c r="F10" s="41" t="str">
        <f>Synthèse!H3</f>
        <v>RU - Chef de camp JS SdC/T</v>
      </c>
      <c r="G10" s="41"/>
      <c r="H10" s="41"/>
    </row>
    <row r="11" spans="1:10" s="2" customFormat="1" ht="15.95" customHeight="1">
      <c r="A11" s="2" t="s">
        <v>6</v>
      </c>
      <c r="B11" s="40" t="str">
        <f>Synthèse!D4</f>
        <v>Toto</v>
      </c>
      <c r="C11" s="40"/>
      <c r="D11" s="40"/>
      <c r="E11" s="42" t="s">
        <v>8</v>
      </c>
      <c r="F11" s="41" t="str">
        <f>Synthèse!H4</f>
        <v>PBS CH NE 221-26</v>
      </c>
      <c r="G11" s="41"/>
      <c r="H11" s="41"/>
    </row>
    <row r="12" spans="1:10" s="2" customFormat="1" ht="15.95" customHeight="1">
      <c r="E12" s="42"/>
      <c r="F12" s="43"/>
      <c r="G12" s="43"/>
      <c r="H12" s="43"/>
    </row>
    <row r="13" spans="1:10" s="2" customFormat="1" ht="15.95" customHeight="1">
      <c r="D13" s="38"/>
      <c r="E13" s="44"/>
      <c r="F13" s="44"/>
      <c r="G13" s="44"/>
      <c r="H13" s="44"/>
    </row>
    <row r="14" spans="1:10" s="2" customFormat="1" ht="15.95" customHeight="1">
      <c r="A14" s="331" t="s">
        <v>432</v>
      </c>
      <c r="B14" s="332"/>
      <c r="C14" s="332"/>
      <c r="D14" s="332"/>
      <c r="E14" s="332"/>
      <c r="F14" s="332"/>
      <c r="G14" s="332"/>
      <c r="H14" s="333"/>
    </row>
    <row r="15" spans="1:10" ht="27" customHeight="1">
      <c r="A15" s="339" t="s">
        <v>433</v>
      </c>
      <c r="B15" s="340"/>
      <c r="C15" s="340"/>
      <c r="D15" s="340"/>
      <c r="E15" s="340"/>
      <c r="F15" s="340"/>
      <c r="G15" s="340"/>
      <c r="H15" s="341"/>
    </row>
    <row r="16" spans="1:10" s="2" customFormat="1" ht="15.95" customHeight="1"/>
    <row r="17" spans="1:8" s="2" customFormat="1" ht="15.95" customHeight="1"/>
    <row r="18" spans="1:8" s="2" customFormat="1" ht="15.95" customHeight="1">
      <c r="A18" s="334" t="s">
        <v>434</v>
      </c>
      <c r="B18" s="334"/>
      <c r="C18" s="334"/>
      <c r="D18" s="334"/>
      <c r="E18" s="334"/>
      <c r="F18" s="334"/>
      <c r="G18" s="334"/>
      <c r="H18" s="334"/>
    </row>
    <row r="19" spans="1:8" s="2" customFormat="1" ht="15.95" customHeight="1"/>
    <row r="20" spans="1:8" s="2" customFormat="1" ht="15.95" customHeight="1">
      <c r="A20" s="5" t="s">
        <v>47</v>
      </c>
      <c r="B20" s="3"/>
      <c r="C20" s="3"/>
      <c r="D20" s="3"/>
      <c r="E20" s="3"/>
      <c r="F20" s="3"/>
      <c r="G20" s="3"/>
      <c r="H20" s="4"/>
    </row>
    <row r="21" spans="1:8" s="2" customFormat="1" ht="15.95" customHeight="1">
      <c r="A21" s="342">
        <f>Synthèse!C8</f>
        <v>0</v>
      </c>
      <c r="B21" s="343"/>
      <c r="C21" s="343"/>
      <c r="D21" s="343"/>
      <c r="E21" s="343"/>
      <c r="F21" s="343"/>
      <c r="G21" s="343"/>
      <c r="H21" s="344"/>
    </row>
    <row r="22" spans="1:8" s="2" customFormat="1" ht="15.95" customHeight="1">
      <c r="A22" s="342"/>
      <c r="B22" s="343"/>
      <c r="C22" s="343"/>
      <c r="D22" s="343"/>
      <c r="E22" s="343"/>
      <c r="F22" s="343"/>
      <c r="G22" s="343"/>
      <c r="H22" s="344"/>
    </row>
    <row r="23" spans="1:8" s="2" customFormat="1" ht="45" customHeight="1">
      <c r="A23" s="345"/>
      <c r="B23" s="346"/>
      <c r="C23" s="346"/>
      <c r="D23" s="346"/>
      <c r="E23" s="346"/>
      <c r="F23" s="346"/>
      <c r="G23" s="346"/>
      <c r="H23" s="347"/>
    </row>
    <row r="24" spans="1:8" s="2" customFormat="1" ht="15.95" customHeight="1"/>
    <row r="25" spans="1:8" s="2" customFormat="1" ht="15.95" customHeight="1">
      <c r="A25" s="5" t="s">
        <v>435</v>
      </c>
      <c r="B25" s="3"/>
      <c r="C25" s="3"/>
      <c r="D25" s="3"/>
      <c r="E25" s="5" t="s">
        <v>436</v>
      </c>
      <c r="F25" s="3"/>
      <c r="G25" s="3"/>
      <c r="H25" s="4"/>
    </row>
    <row r="26" spans="1:8" s="2" customFormat="1" ht="15.95" customHeight="1">
      <c r="A26" s="327" t="str">
        <f>IF(ISBLANK(Synthèse!C13),"",Synthèse!C13)</f>
        <v/>
      </c>
      <c r="B26" s="328"/>
      <c r="C26" s="328"/>
      <c r="D26" s="328"/>
      <c r="E26" s="327" t="str">
        <f>IF(ISBLANK(Synthèse!G13),"",Synthèse!G13)</f>
        <v/>
      </c>
      <c r="F26" s="328"/>
      <c r="G26" s="328"/>
      <c r="H26" s="329"/>
    </row>
    <row r="27" spans="1:8" s="2" customFormat="1" ht="15.95" customHeight="1">
      <c r="A27" s="327" t="str">
        <f>IF(ISBLANK(Synthèse!C14),"",Synthèse!C14)</f>
        <v/>
      </c>
      <c r="B27" s="328"/>
      <c r="C27" s="328"/>
      <c r="D27" s="328"/>
      <c r="E27" s="327" t="str">
        <f>IF(ISBLANK(Synthèse!G14),"",Synthèse!G14)</f>
        <v/>
      </c>
      <c r="F27" s="328"/>
      <c r="G27" s="328"/>
      <c r="H27" s="329"/>
    </row>
    <row r="28" spans="1:8" s="2" customFormat="1" ht="15.95" customHeight="1">
      <c r="A28" s="335" t="str">
        <f>IF(ISBLANK(Synthèse!C15),"",Synthèse!C15)</f>
        <v/>
      </c>
      <c r="B28" s="336"/>
      <c r="C28" s="336"/>
      <c r="D28" s="336"/>
      <c r="E28" s="335" t="str">
        <f>IF(ISBLANK(Synthèse!G15),"",Synthèse!G15)</f>
        <v/>
      </c>
      <c r="F28" s="336"/>
      <c r="G28" s="336"/>
      <c r="H28" s="337"/>
    </row>
    <row r="29" spans="1:8" s="2" customFormat="1" ht="15.95" customHeight="1"/>
    <row r="30" spans="1:8" s="2" customFormat="1" ht="15.95" customHeight="1"/>
    <row r="31" spans="1:8" s="2" customFormat="1" ht="15.95" customHeight="1">
      <c r="A31" s="334" t="s">
        <v>437</v>
      </c>
      <c r="B31" s="334"/>
      <c r="C31" s="334"/>
      <c r="D31" s="334"/>
      <c r="E31" s="334"/>
      <c r="F31" s="334"/>
      <c r="G31" s="334"/>
      <c r="H31" s="334"/>
    </row>
    <row r="32" spans="1:8" s="2" customFormat="1" ht="15.95" customHeight="1" thickBot="1"/>
    <row r="33" spans="1:8" ht="60" customHeight="1" thickBot="1">
      <c r="A33" s="323" t="str">
        <f>IF(Synthèse!F24 = "Réussi", "Cours réussi", "Cours non réussi")</f>
        <v>Cours réussi</v>
      </c>
      <c r="B33" s="324"/>
      <c r="C33" s="325"/>
      <c r="D33" s="326" t="s">
        <v>438</v>
      </c>
      <c r="E33" s="326"/>
      <c r="F33" s="326"/>
      <c r="G33" s="326"/>
      <c r="H33" s="326"/>
    </row>
    <row r="36" spans="1:8" s="2" customFormat="1" ht="15.95" customHeight="1">
      <c r="E36" s="2" t="s">
        <v>439</v>
      </c>
    </row>
    <row r="37" spans="1:8">
      <c r="E37" s="6"/>
      <c r="F37" s="6"/>
      <c r="G37" s="6"/>
      <c r="H37" s="6"/>
    </row>
    <row r="38" spans="1:8">
      <c r="E38" s="6"/>
      <c r="F38" s="6"/>
      <c r="G38" s="6"/>
      <c r="H38" s="6"/>
    </row>
    <row r="39" spans="1:8">
      <c r="E39" s="6"/>
      <c r="F39" s="6"/>
      <c r="G39" s="6"/>
      <c r="H39" s="6"/>
    </row>
    <row r="40" spans="1:8">
      <c r="E40" s="6" t="s">
        <v>440</v>
      </c>
      <c r="F40" s="6"/>
      <c r="G40" s="6"/>
      <c r="H40" s="6"/>
    </row>
    <row r="58" spans="7:7">
      <c r="G58" s="37"/>
    </row>
  </sheetData>
  <sheetProtection sheet="1" objects="1" scenarios="1"/>
  <mergeCells count="15">
    <mergeCell ref="A4:H4"/>
    <mergeCell ref="A14:H14"/>
    <mergeCell ref="A31:H31"/>
    <mergeCell ref="A28:D28"/>
    <mergeCell ref="E28:H28"/>
    <mergeCell ref="F7:H7"/>
    <mergeCell ref="A15:H15"/>
    <mergeCell ref="A18:H18"/>
    <mergeCell ref="A21:H23"/>
    <mergeCell ref="A33:C33"/>
    <mergeCell ref="D33:H33"/>
    <mergeCell ref="A26:D26"/>
    <mergeCell ref="E26:H26"/>
    <mergeCell ref="A27:D27"/>
    <mergeCell ref="E27:H27"/>
  </mergeCells>
  <conditionalFormatting sqref="A21:H23 A26:H28">
    <cfRule type="cellIs" dxfId="0" priority="1" operator="equal">
      <formula>0</formula>
    </cfRule>
  </conditionalFormatting>
  <pageMargins left="0.5" right="0.5" top="0.5" bottom="0.5" header="0" footer="0"/>
  <pageSetup paperSize="9" scale="9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9E65F-2974-4027-92BD-B56EAD4DF593}">
  <dimension ref="A1:F7"/>
  <sheetViews>
    <sheetView zoomScaleNormal="100" workbookViewId="0"/>
  </sheetViews>
  <sheetFormatPr defaultColWidth="8.5703125" defaultRowHeight="14.45"/>
  <sheetData>
    <row r="1" spans="1:6">
      <c r="A1" t="s">
        <v>441</v>
      </c>
      <c r="F1" s="1" t="s">
        <v>442</v>
      </c>
    </row>
    <row r="2" spans="1:6">
      <c r="A2" t="s">
        <v>443</v>
      </c>
      <c r="F2" s="1" t="s">
        <v>444</v>
      </c>
    </row>
    <row r="3" spans="1:6">
      <c r="A3" t="s">
        <v>399</v>
      </c>
      <c r="F3" s="1"/>
    </row>
    <row r="4" spans="1:6">
      <c r="F4" s="1"/>
    </row>
    <row r="5" spans="1:6">
      <c r="A5" t="s">
        <v>445</v>
      </c>
    </row>
    <row r="6" spans="1:6">
      <c r="A6" t="s">
        <v>42</v>
      </c>
    </row>
    <row r="7" spans="1:6">
      <c r="A7" t="s">
        <v>446</v>
      </c>
    </row>
  </sheetData>
  <sheetProtection sheet="1" objects="1" scenarios="1"/>
  <pageMargins left="0.7" right="0.7" top="0.75" bottom="0.75" header="0.3" footer="0.3"/>
  <pageSetup paperSize="9" scale="3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2B50-7B2C-475B-972A-A16DEB1E1AA2}">
  <dimension ref="A1:D39"/>
  <sheetViews>
    <sheetView zoomScaleNormal="100" workbookViewId="0">
      <selection activeCell="D29" sqref="D29"/>
    </sheetView>
  </sheetViews>
  <sheetFormatPr defaultColWidth="9.140625" defaultRowHeight="14.1"/>
  <cols>
    <col min="1" max="1" width="9.140625" style="13"/>
    <col min="2" max="2" width="113.7109375" style="14" customWidth="1"/>
    <col min="3" max="3" width="3.5703125" style="21" customWidth="1"/>
    <col min="4" max="4" width="90.140625" style="13" customWidth="1"/>
    <col min="5" max="16384" width="9.140625" style="13"/>
  </cols>
  <sheetData>
    <row r="1" spans="1:4">
      <c r="A1" s="24" t="s">
        <v>447</v>
      </c>
      <c r="B1" s="25"/>
      <c r="C1" s="26"/>
      <c r="D1" s="26" t="s">
        <v>448</v>
      </c>
    </row>
    <row r="4" spans="1:4">
      <c r="A4" s="15" t="s">
        <v>449</v>
      </c>
      <c r="B4" s="27"/>
      <c r="C4" s="28"/>
      <c r="D4" s="29"/>
    </row>
    <row r="5" spans="1:4" ht="28.5">
      <c r="A5" s="30" t="s">
        <v>450</v>
      </c>
      <c r="B5" s="20" t="s">
        <v>451</v>
      </c>
      <c r="C5" s="22"/>
      <c r="D5" s="34" t="s">
        <v>452</v>
      </c>
    </row>
    <row r="6" spans="1:4" ht="28.5" customHeight="1">
      <c r="A6" s="30" t="s">
        <v>453</v>
      </c>
      <c r="B6" s="20" t="s">
        <v>454</v>
      </c>
      <c r="C6" s="22"/>
      <c r="D6" s="34" t="s">
        <v>455</v>
      </c>
    </row>
    <row r="7" spans="1:4" ht="31.5" customHeight="1">
      <c r="A7" s="29" t="s">
        <v>456</v>
      </c>
      <c r="B7" s="20" t="s">
        <v>457</v>
      </c>
      <c r="C7" s="28"/>
      <c r="D7" s="29"/>
    </row>
    <row r="8" spans="1:4" ht="27.95">
      <c r="A8" s="30" t="s">
        <v>458</v>
      </c>
      <c r="B8" s="20" t="s">
        <v>459</v>
      </c>
      <c r="C8" s="28"/>
      <c r="D8" s="33" t="s">
        <v>460</v>
      </c>
    </row>
    <row r="9" spans="1:4" ht="27.95">
      <c r="A9" s="30" t="s">
        <v>461</v>
      </c>
      <c r="B9" s="20" t="s">
        <v>462</v>
      </c>
      <c r="C9" s="28"/>
      <c r="D9" s="34" t="s">
        <v>463</v>
      </c>
    </row>
    <row r="10" spans="1:4">
      <c r="A10" s="29" t="s">
        <v>464</v>
      </c>
      <c r="B10" s="20" t="s">
        <v>465</v>
      </c>
      <c r="C10" s="28"/>
      <c r="D10" s="29"/>
    </row>
    <row r="11" spans="1:4">
      <c r="A11" s="29"/>
      <c r="B11" s="20"/>
      <c r="C11" s="28"/>
      <c r="D11" s="29"/>
    </row>
    <row r="12" spans="1:4">
      <c r="A12" s="15" t="s">
        <v>466</v>
      </c>
      <c r="B12" s="27"/>
      <c r="C12" s="28"/>
      <c r="D12" s="29"/>
    </row>
    <row r="13" spans="1:4" ht="27.95">
      <c r="A13" s="29" t="s">
        <v>467</v>
      </c>
      <c r="B13" s="20" t="s">
        <v>468</v>
      </c>
      <c r="C13" s="28"/>
      <c r="D13" s="29"/>
    </row>
    <row r="14" spans="1:4" ht="27.95">
      <c r="A14" s="29" t="s">
        <v>469</v>
      </c>
      <c r="B14" s="20" t="s">
        <v>470</v>
      </c>
      <c r="C14" s="28"/>
      <c r="D14" s="29"/>
    </row>
    <row r="15" spans="1:4">
      <c r="A15" s="29" t="s">
        <v>471</v>
      </c>
      <c r="B15" s="20" t="s">
        <v>472</v>
      </c>
      <c r="C15" s="28"/>
      <c r="D15" s="29"/>
    </row>
    <row r="16" spans="1:4">
      <c r="A16" s="30" t="s">
        <v>473</v>
      </c>
      <c r="B16" s="20" t="s">
        <v>474</v>
      </c>
      <c r="C16" s="28"/>
      <c r="D16" s="35" t="s">
        <v>475</v>
      </c>
    </row>
    <row r="17" spans="1:4" ht="26.25" customHeight="1">
      <c r="A17" s="30" t="s">
        <v>476</v>
      </c>
      <c r="B17" s="20" t="s">
        <v>477</v>
      </c>
      <c r="C17" s="28"/>
      <c r="D17" s="35" t="s">
        <v>478</v>
      </c>
    </row>
    <row r="18" spans="1:4" ht="27.95">
      <c r="A18" s="29" t="s">
        <v>479</v>
      </c>
      <c r="B18" s="20" t="s">
        <v>480</v>
      </c>
      <c r="C18" s="28"/>
      <c r="D18" s="29"/>
    </row>
    <row r="19" spans="1:4" ht="27.95">
      <c r="A19" s="30" t="s">
        <v>481</v>
      </c>
      <c r="B19" s="20" t="s">
        <v>482</v>
      </c>
      <c r="C19" s="28"/>
      <c r="D19" s="35" t="s">
        <v>483</v>
      </c>
    </row>
    <row r="20" spans="1:4" ht="27.95">
      <c r="A20" s="29" t="s">
        <v>484</v>
      </c>
      <c r="B20" s="20" t="s">
        <v>485</v>
      </c>
      <c r="C20" s="28"/>
      <c r="D20" s="29"/>
    </row>
    <row r="21" spans="1:4" ht="27.95">
      <c r="A21" s="29" t="s">
        <v>486</v>
      </c>
      <c r="B21" s="20" t="s">
        <v>487</v>
      </c>
      <c r="C21" s="28"/>
      <c r="D21" s="29"/>
    </row>
    <row r="22" spans="1:4">
      <c r="A22" s="29"/>
      <c r="B22" s="20"/>
      <c r="C22" s="28"/>
      <c r="D22" s="29"/>
    </row>
    <row r="23" spans="1:4">
      <c r="A23" s="15" t="s">
        <v>488</v>
      </c>
      <c r="B23" s="27"/>
      <c r="C23" s="23"/>
      <c r="D23" s="29"/>
    </row>
    <row r="24" spans="1:4">
      <c r="A24" s="29" t="s">
        <v>489</v>
      </c>
      <c r="B24" s="20" t="s">
        <v>490</v>
      </c>
      <c r="C24" s="28"/>
      <c r="D24" s="29"/>
    </row>
    <row r="25" spans="1:4">
      <c r="A25" s="30" t="s">
        <v>491</v>
      </c>
      <c r="B25" s="27" t="s">
        <v>492</v>
      </c>
      <c r="C25" s="23"/>
      <c r="D25" s="35" t="s">
        <v>493</v>
      </c>
    </row>
    <row r="26" spans="1:4">
      <c r="A26" s="29" t="s">
        <v>494</v>
      </c>
      <c r="B26" s="27" t="s">
        <v>495</v>
      </c>
      <c r="C26" s="28"/>
      <c r="D26" s="29"/>
    </row>
    <row r="27" spans="1:4" ht="27.95">
      <c r="A27" s="30" t="s">
        <v>496</v>
      </c>
      <c r="B27" s="27" t="s">
        <v>497</v>
      </c>
      <c r="C27" s="28"/>
      <c r="D27" s="35" t="s">
        <v>498</v>
      </c>
    </row>
    <row r="28" spans="1:4" ht="32.25" customHeight="1">
      <c r="A28" s="30" t="s">
        <v>499</v>
      </c>
      <c r="B28" s="27" t="s">
        <v>500</v>
      </c>
      <c r="C28" s="28"/>
      <c r="D28" s="33" t="s">
        <v>501</v>
      </c>
    </row>
    <row r="29" spans="1:4" ht="25.5" customHeight="1">
      <c r="A29" s="30" t="s">
        <v>502</v>
      </c>
      <c r="B29" s="27" t="s">
        <v>503</v>
      </c>
      <c r="C29" s="28"/>
      <c r="D29" s="35" t="s">
        <v>504</v>
      </c>
    </row>
    <row r="30" spans="1:4" ht="30" customHeight="1">
      <c r="A30" s="30" t="s">
        <v>505</v>
      </c>
      <c r="B30" s="27" t="s">
        <v>506</v>
      </c>
      <c r="C30" s="28"/>
      <c r="D30" s="35" t="s">
        <v>507</v>
      </c>
    </row>
    <row r="31" spans="1:4" ht="42">
      <c r="A31" s="30" t="s">
        <v>508</v>
      </c>
      <c r="B31" s="27" t="s">
        <v>509</v>
      </c>
      <c r="C31" s="28"/>
      <c r="D31" s="31" t="s">
        <v>510</v>
      </c>
    </row>
    <row r="32" spans="1:4" ht="42.75" customHeight="1">
      <c r="A32" s="30" t="s">
        <v>511</v>
      </c>
      <c r="B32" s="27" t="s">
        <v>512</v>
      </c>
      <c r="C32" s="28"/>
      <c r="D32" s="31" t="s">
        <v>513</v>
      </c>
    </row>
    <row r="33" spans="1:4" ht="27.95">
      <c r="A33" s="29" t="s">
        <v>514</v>
      </c>
      <c r="B33" s="27" t="s">
        <v>515</v>
      </c>
      <c r="C33" s="28"/>
      <c r="D33" s="29"/>
    </row>
    <row r="35" spans="1:4">
      <c r="A35" s="15" t="s">
        <v>516</v>
      </c>
      <c r="B35" s="27"/>
      <c r="C35" s="28"/>
      <c r="D35" s="29"/>
    </row>
    <row r="36" spans="1:4" ht="27.95">
      <c r="A36" s="30" t="s">
        <v>517</v>
      </c>
      <c r="B36" s="27" t="s">
        <v>518</v>
      </c>
      <c r="C36" s="28"/>
      <c r="D36" s="35" t="s">
        <v>519</v>
      </c>
    </row>
    <row r="37" spans="1:4">
      <c r="A37" s="30" t="s">
        <v>520</v>
      </c>
      <c r="B37" s="27" t="s">
        <v>521</v>
      </c>
      <c r="C37" s="28"/>
      <c r="D37" s="32" t="s">
        <v>522</v>
      </c>
    </row>
    <row r="38" spans="1:4" ht="25.5" customHeight="1">
      <c r="A38" s="29" t="s">
        <v>523</v>
      </c>
      <c r="B38" s="27" t="s">
        <v>524</v>
      </c>
      <c r="C38" s="28"/>
      <c r="D38" s="29"/>
    </row>
    <row r="39" spans="1:4">
      <c r="A39" s="29" t="s">
        <v>525</v>
      </c>
      <c r="B39" s="27" t="s">
        <v>526</v>
      </c>
      <c r="C39" s="28"/>
      <c r="D39" s="29"/>
    </row>
  </sheetData>
  <sheetProtection sheet="1" objects="1" scenarios="1"/>
  <pageMargins left="0.7" right="0.7" top="0.75" bottom="0.75" header="0.3" footer="0.3"/>
  <pageSetup paperSize="9" scale="33"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7DCC1259761724A9D8B3869140B6759" ma:contentTypeVersion="21" ma:contentTypeDescription="Create a new document." ma:contentTypeScope="" ma:versionID="6fe686cfd402ab583428d1afc8c51610">
  <xsd:schema xmlns:xsd="http://www.w3.org/2001/XMLSchema" xmlns:xs="http://www.w3.org/2001/XMLSchema" xmlns:p="http://schemas.microsoft.com/office/2006/metadata/properties" xmlns:ns2="33b00387-e79d-4e99-b8e0-238b427cb90b" xmlns:ns3="93899848-e30f-417f-8ca7-578520afd8e0" targetNamespace="http://schemas.microsoft.com/office/2006/metadata/properties" ma:root="true" ma:fieldsID="ed380796fe2d016f26ff50eb3bb150f0" ns2:_="" ns3:_="">
    <xsd:import namespace="33b00387-e79d-4e99-b8e0-238b427cb90b"/>
    <xsd:import namespace="93899848-e30f-417f-8ca7-578520afd8e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2:TaxCatchAll" minOccurs="0"/>
                <xsd:element ref="ns3:MediaServiceDateTaken" minOccurs="0"/>
                <xsd:element ref="ns3:MediaServiceGenerationTime" minOccurs="0"/>
                <xsd:element ref="ns3:MediaServiceEventHashCode" minOccurs="0"/>
                <xsd:element ref="ns3:lcf76f155ced4ddcb4097134ff3c332f" minOccurs="0"/>
                <xsd:element ref="ns3:MediaServiceOCR" minOccurs="0"/>
                <xsd:element ref="ns3:MediaServiceLocation" minOccurs="0"/>
                <xsd:element ref="ns3:MediaLengthInSeconds" minOccurs="0"/>
                <xsd:element ref="ns3:Descritpion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00387-e79d-4e99-b8e0-238b427cb90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a592b6e0-a2a9-4270-9b3c-d436382c5659}" ma:internalName="TaxCatchAll" ma:showField="CatchAllData" ma:web="33b00387-e79d-4e99-b8e0-238b427cb9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3899848-e30f-417f-8ca7-578520afd8e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86b2961-d3b3-4e8f-9385-44f7c4777ff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Descritpions" ma:index="21" nillable="true" ma:displayName="Descritpions" ma:format="Dropdown" ma:internalName="Descritpions">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3b00387-e79d-4e99-b8e0-238b427cb90b" xsi:nil="true"/>
    <lcf76f155ced4ddcb4097134ff3c332f xmlns="93899848-e30f-417f-8ca7-578520afd8e0">
      <Terms xmlns="http://schemas.microsoft.com/office/infopath/2007/PartnerControls"/>
    </lcf76f155ced4ddcb4097134ff3c332f>
    <Descritpions xmlns="93899848-e30f-417f-8ca7-578520afd8e0" xsi:nil="true"/>
  </documentManagement>
</p:properties>
</file>

<file path=customXml/itemProps1.xml><?xml version="1.0" encoding="utf-8"?>
<ds:datastoreItem xmlns:ds="http://schemas.openxmlformats.org/officeDocument/2006/customXml" ds:itemID="{37E8D7E7-430E-4B81-BDC6-3A281F882890}"/>
</file>

<file path=customXml/itemProps2.xml><?xml version="1.0" encoding="utf-8"?>
<ds:datastoreItem xmlns:ds="http://schemas.openxmlformats.org/officeDocument/2006/customXml" ds:itemID="{3D3E70E8-1CCF-4EC1-BAAC-9E5FEF5B195F}"/>
</file>

<file path=customXml/itemProps3.xml><?xml version="1.0" encoding="utf-8"?>
<ds:datastoreItem xmlns:ds="http://schemas.openxmlformats.org/officeDocument/2006/customXml" ds:itemID="{B2933C26-B508-4231-A3F8-3667CE5252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Bastien Nicoud</cp:lastModifiedBy>
  <cp:revision/>
  <dcterms:created xsi:type="dcterms:W3CDTF">2023-01-12T12:50:00Z</dcterms:created>
  <dcterms:modified xsi:type="dcterms:W3CDTF">2026-04-03T14:51:25Z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0x01010067DCC1259761724A9D8B3869140B6759</vt:lpwstr>
  </property>
  <property fmtid="{D5CDD505-2E9C-101B-9397-08002B2CF9AE}" pid="3" name="MediaServiceImageTags">
    <vt:lpwstr/>
  </property>
</Properties>
</file>